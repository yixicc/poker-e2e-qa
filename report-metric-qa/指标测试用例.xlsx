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  <sheet name="指标用例统计" sheetId="2" state="visible" r:id="rId2"/>
  </sheets>
  <definedNames>
    <definedName name="_xlnm._FilterDatabase" localSheetId="0" hidden="1">'测试用例'!$A$4:$R$571</definedName>
    <definedName name="_xlnm._FilterDatabase" localSheetId="1" hidden="1">'指标用例统计'!$A$4:$G$159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b val="1"/>
      <color rgb="0017324D"/>
    </font>
    <font>
      <name val="Microsoft YaHei"/>
      <color rgb="006D5200"/>
      <sz val="10"/>
    </font>
    <font>
      <name val="Microsoft YaHei"/>
      <b val="1"/>
      <color rgb="0017324D"/>
      <sz val="10"/>
    </font>
    <font>
      <name val="Microsoft YaHei"/>
      <sz val="9"/>
    </font>
    <font>
      <name val="Microsoft YaHei"/>
      <b val="1"/>
      <sz val="9"/>
    </font>
  </fonts>
  <fills count="11">
    <fill>
      <patternFill/>
    </fill>
    <fill>
      <patternFill patternType="gray125"/>
    </fill>
    <fill>
      <patternFill patternType="solid">
        <fgColor rgb="00123E65"/>
      </patternFill>
    </fill>
    <fill>
      <patternFill patternType="solid">
        <fgColor rgb="00EAF2F8"/>
      </patternFill>
    </fill>
    <fill>
      <patternFill patternType="solid">
        <fgColor rgb="00FFF4D2"/>
      </patternFill>
    </fill>
    <fill>
      <patternFill patternType="solid">
        <fgColor rgb="00D9EAF7"/>
      </patternFill>
    </fill>
    <fill>
      <patternFill patternType="solid">
        <fgColor rgb="00F5F9FC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4F6F8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D9E2EA"/>
      </left>
      <right style="thin">
        <color rgb="00D9E2EA"/>
      </right>
      <top style="thin">
        <color rgb="00D9E2EA"/>
      </top>
      <bottom style="thin">
        <color rgb="00D9E2E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vertical="top" wrapText="1"/>
    </xf>
    <xf numFmtId="0" fontId="5" fillId="1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4" fontId="6" fillId="0" borderId="0" pivotButton="0" quotePrefix="0" xfId="0"/>
    <xf numFmtId="0" fontId="4" fillId="5" borderId="0" pivotButton="0" quotePrefix="0" xfId="0"/>
    <xf numFmtId="0" fontId="6" fillId="3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1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8" customWidth="1" min="4" max="4"/>
    <col width="14" customWidth="1" min="5" max="5"/>
    <col width="12" customWidth="1" min="6" max="6"/>
    <col width="12" customWidth="1" min="7" max="7"/>
    <col width="26" customWidth="1" min="8" max="8"/>
    <col width="32" customWidth="1" min="9" max="9"/>
    <col width="32" customWidth="1" min="10" max="10"/>
    <col width="8" customWidth="1" min="11" max="11"/>
    <col width="32" customWidth="1" min="12" max="12"/>
    <col width="42" customWidth="1" min="13" max="13"/>
    <col width="42" customWidth="1" min="14" max="14"/>
    <col width="32" customWidth="1" min="15" max="15"/>
    <col width="10" customWidth="1" min="16" max="16"/>
    <col width="14" customWidth="1" min="17" max="17"/>
    <col width="28" customWidth="1" min="18" max="18"/>
  </cols>
  <sheetData>
    <row r="1" ht="30" customHeight="1">
      <c r="A1" s="1" t="inlineStr">
        <is>
          <t>测试用例</t>
        </is>
      </c>
    </row>
    <row r="2" ht="40" customHeight="1">
      <c r="A2" s="2" t="inlineStr">
        <is>
          <t>表头含数据层级、是否用户可见、字典原文、测试用例标题、正/反例、前置条件、测试步骤、预期结果、对应字段；末三列为执行状态、时间、备注。</t>
        </is>
      </c>
    </row>
    <row r="3" ht="40" customHeight="1">
      <c r="A3" s="3" t="inlineStr">
        <is>
          <t>前置写清对比数据（如手数=n）。步骤和预期只对目标。执行状态/时间/备注由测试人员填写；勿手改其它列。</t>
        </is>
      </c>
    </row>
    <row r="4" ht="28" customHeight="1">
      <c r="A4" s="4" t="inlineStr">
        <is>
          <t>用例ID</t>
        </is>
      </c>
      <c r="B4" s="4" t="inlineStr">
        <is>
          <t>指标编码</t>
        </is>
      </c>
      <c r="C4" s="4" t="inlineStr">
        <is>
          <t>中文名称</t>
        </is>
      </c>
      <c r="D4" s="4" t="inlineStr">
        <is>
          <t>优先级</t>
        </is>
      </c>
      <c r="E4" s="4" t="inlineStr">
        <is>
          <t>测试方法</t>
        </is>
      </c>
      <c r="F4" s="4" t="inlineStr">
        <is>
          <t>数据层级</t>
        </is>
      </c>
      <c r="G4" s="4" t="inlineStr">
        <is>
          <t>是否用户可见</t>
        </is>
      </c>
      <c r="H4" s="4" t="inlineStr">
        <is>
          <t>含义（字典原文）</t>
        </is>
      </c>
      <c r="I4" s="4" t="inlineStr">
        <is>
          <t>统计方法 / 口径（字典原文）</t>
        </is>
      </c>
      <c r="J4" s="4" t="inlineStr">
        <is>
          <t>测试用例标题</t>
        </is>
      </c>
      <c r="K4" s="4" t="inlineStr">
        <is>
          <t>正/反例</t>
        </is>
      </c>
      <c r="L4" s="4" t="inlineStr">
        <is>
          <t>前置条件</t>
        </is>
      </c>
      <c r="M4" s="4" t="inlineStr">
        <is>
          <t>测试步骤</t>
        </is>
      </c>
      <c r="N4" s="4" t="inlineStr">
        <is>
          <t>预期结果</t>
        </is>
      </c>
      <c r="O4" s="4" t="inlineStr">
        <is>
          <t>对应字段</t>
        </is>
      </c>
      <c r="P4" s="4" t="inlineStr">
        <is>
          <t>执行状态</t>
        </is>
      </c>
      <c r="Q4" s="4" t="inlineStr">
        <is>
          <t>时间</t>
        </is>
      </c>
      <c r="R4" s="4" t="inlineStr">
        <is>
          <t>备注</t>
        </is>
      </c>
    </row>
    <row r="5" ht="72" customHeight="1">
      <c r="A5" s="5" t="inlineStr">
        <is>
          <t>TC-RPT-001</t>
        </is>
      </c>
      <c r="B5" s="5" t="inlineStr">
        <is>
          <t>video_duration</t>
        </is>
      </c>
      <c r="C5" s="5" t="inlineStr">
        <is>
          <t>视频时长</t>
        </is>
      </c>
      <c r="D5" s="6" t="inlineStr">
        <is>
          <t>P0</t>
        </is>
      </c>
      <c r="E5" s="7" t="inlineStr">
        <is>
          <t>边界值分析法</t>
        </is>
      </c>
      <c r="F5" s="7" t="inlineStr">
        <is>
          <t>Session基础</t>
        </is>
      </c>
      <c r="G5" s="7" t="inlineStr">
        <is>
          <t>是</t>
        </is>
      </c>
      <c r="H5" s="8" t="inlineStr">
        <is>
          <t>上传视频或本次 Session 的总时长</t>
        </is>
      </c>
      <c r="I5" s="8" t="inlineStr">
        <is>
          <t>从视频元数据读取；若无则最终报告自然省略视频时长</t>
        </is>
      </c>
      <c r="J5" s="8" t="inlineStr">
        <is>
          <t>视频时长正例-单位精确到秒</t>
        </is>
      </c>
      <c r="K5" s="9" t="inlineStr">
        <is>
          <t>正例</t>
        </is>
      </c>
      <c r="L5" s="8" t="inlineStr">
        <is>
          <t>1、已登录。
2、播放器时长=t秒（带到秒，如 12:30=750）</t>
        </is>
      </c>
      <c r="M5" s="8" t="inlineStr">
        <is>
          <t>1、上传素材，生成复盘报告，等到能打开。
2、打开「视频时长」，检查是否为t。</t>
        </is>
      </c>
      <c r="N5" s="8" t="inlineStr">
        <is>
          <t>视频时长=t</t>
        </is>
      </c>
      <c r="O5" s="8" t="inlineStr">
        <is>
          <t>session_summary.video_duration</t>
        </is>
      </c>
      <c r="P5" s="10" t="inlineStr">
        <is>
          <t>未执行</t>
        </is>
      </c>
      <c r="Q5" s="10" t="inlineStr"/>
      <c r="R5" s="11" t="inlineStr"/>
    </row>
    <row r="6" ht="72" customHeight="1">
      <c r="A6" s="5" t="inlineStr">
        <is>
          <t>TC-RPT-002</t>
        </is>
      </c>
      <c r="B6" s="5" t="inlineStr">
        <is>
          <t>video_duration</t>
        </is>
      </c>
      <c r="C6" s="5" t="inlineStr">
        <is>
          <t>视频时长</t>
        </is>
      </c>
      <c r="D6" s="6" t="inlineStr">
        <is>
          <t>P0</t>
        </is>
      </c>
      <c r="E6" s="7" t="inlineStr">
        <is>
          <t>边界值分析法</t>
        </is>
      </c>
      <c r="F6" s="7" t="inlineStr">
        <is>
          <t>Session基础</t>
        </is>
      </c>
      <c r="G6" s="7" t="inlineStr">
        <is>
          <t>是</t>
        </is>
      </c>
      <c r="H6" s="8" t="inlineStr">
        <is>
          <t>上传视频或本次 Session 的总时长</t>
        </is>
      </c>
      <c r="I6" s="8" t="inlineStr">
        <is>
          <t>从视频元数据读取；若无则最终报告自然省略视频时长</t>
        </is>
      </c>
      <c r="J6" s="8" t="inlineStr">
        <is>
          <t>视频时长反例-上传时长为0</t>
        </is>
      </c>
      <c r="K6" s="12" t="inlineStr">
        <is>
          <t>反例</t>
        </is>
      </c>
      <c r="L6" s="8" t="inlineStr">
        <is>
          <t>1、已登录。
2、播放器时长=0秒</t>
        </is>
      </c>
      <c r="M6" s="8" t="inlineStr">
        <is>
          <t>1、上传素材，生成复盘报告，等到能打开。
2、打开「视频时长」，检查是否为0。</t>
        </is>
      </c>
      <c r="N6" s="8" t="inlineStr">
        <is>
          <t>视频时长=0</t>
        </is>
      </c>
      <c r="O6" s="8" t="inlineStr">
        <is>
          <t>session_summary.video_duration</t>
        </is>
      </c>
      <c r="P6" s="10" t="inlineStr">
        <is>
          <t>未执行</t>
        </is>
      </c>
      <c r="Q6" s="10" t="inlineStr"/>
      <c r="R6" s="11" t="inlineStr"/>
    </row>
    <row r="7" ht="72" customHeight="1">
      <c r="A7" s="5" t="inlineStr">
        <is>
          <t>TC-RPT-003</t>
        </is>
      </c>
      <c r="B7" s="5" t="inlineStr">
        <is>
          <t>video_duration</t>
        </is>
      </c>
      <c r="C7" s="5" t="inlineStr">
        <is>
          <t>视频时长</t>
        </is>
      </c>
      <c r="D7" s="6" t="inlineStr">
        <is>
          <t>P0</t>
        </is>
      </c>
      <c r="E7" s="7" t="inlineStr">
        <is>
          <t>边界值分析法</t>
        </is>
      </c>
      <c r="F7" s="7" t="inlineStr">
        <is>
          <t>Session基础</t>
        </is>
      </c>
      <c r="G7" s="7" t="inlineStr">
        <is>
          <t>是</t>
        </is>
      </c>
      <c r="H7" s="8" t="inlineStr">
        <is>
          <t>上传视频或本次 Session 的总时长</t>
        </is>
      </c>
      <c r="I7" s="8" t="inlineStr">
        <is>
          <t>从视频元数据读取；若无则最终报告自然省略视频时长</t>
        </is>
      </c>
      <c r="J7" s="8" t="inlineStr">
        <is>
          <t>视频时长正例-上传超长视频</t>
        </is>
      </c>
      <c r="K7" s="9" t="inlineStr">
        <is>
          <t>正例</t>
        </is>
      </c>
      <c r="L7" s="8" t="inlineStr">
        <is>
          <t>1、已登录。
2、播放器时长=t秒，且 t&gt;2小时</t>
        </is>
      </c>
      <c r="M7" s="8" t="inlineStr">
        <is>
          <t>1、上传素材，生成复盘报告，等到能打开。
2、打开「视频时长」，检查是否为t。</t>
        </is>
      </c>
      <c r="N7" s="8" t="inlineStr">
        <is>
          <t>视频时长=t</t>
        </is>
      </c>
      <c r="O7" s="8" t="inlineStr">
        <is>
          <t>session_summary.video_duration</t>
        </is>
      </c>
      <c r="P7" s="10" t="inlineStr">
        <is>
          <t>未执行</t>
        </is>
      </c>
      <c r="Q7" s="10" t="inlineStr"/>
      <c r="R7" s="11" t="inlineStr"/>
    </row>
    <row r="8" ht="72" customHeight="1">
      <c r="A8" s="5" t="inlineStr">
        <is>
          <t>TC-RPT-004</t>
        </is>
      </c>
      <c r="B8" s="5" t="inlineStr">
        <is>
          <t>video_duration</t>
        </is>
      </c>
      <c r="C8" s="5" t="inlineStr">
        <is>
          <t>视频时长</t>
        </is>
      </c>
      <c r="D8" s="6" t="inlineStr">
        <is>
          <t>P0</t>
        </is>
      </c>
      <c r="E8" s="7" t="inlineStr">
        <is>
          <t>场景设计法</t>
        </is>
      </c>
      <c r="F8" s="7" t="inlineStr">
        <is>
          <t>Session基础</t>
        </is>
      </c>
      <c r="G8" s="7" t="inlineStr">
        <is>
          <t>是</t>
        </is>
      </c>
      <c r="H8" s="8" t="inlineStr">
        <is>
          <t>上传视频或本次 Session 的总时长</t>
        </is>
      </c>
      <c r="I8" s="8" t="inlineStr">
        <is>
          <t>从视频元数据读取；若无则最终报告自然省略视频时长</t>
        </is>
      </c>
      <c r="J8" s="8" t="inlineStr">
        <is>
          <t>视频时长正例-切场后按时长跟盲注走</t>
        </is>
      </c>
      <c r="K8" s="9" t="inlineStr">
        <is>
          <t>正例</t>
        </is>
      </c>
      <c r="L8" s="8" t="inlineStr">
        <is>
          <t>1、已登录，当前用户是 Hero。
2、一段录屏整段播放器时长=t。1/2两段合计t1秒，3/4为t2秒（t1+t2=t）</t>
        </is>
      </c>
      <c r="M8" s="8" t="inlineStr">
        <is>
          <t>1、上传素材，生成复盘报告，等到能打开。
2、分别打开1/2场、3/4场的「视频时长」。</t>
        </is>
      </c>
      <c r="N8" s="8" t="inlineStr">
        <is>
          <t>1/2场视频时长=t1，3/4场视频时长=t2。都不是整段t</t>
        </is>
      </c>
      <c r="O8" s="8" t="inlineStr">
        <is>
          <t>session_summary.video_duration</t>
        </is>
      </c>
      <c r="P8" s="10" t="inlineStr">
        <is>
          <t>未执行</t>
        </is>
      </c>
      <c r="Q8" s="10" t="inlineStr"/>
      <c r="R8" s="11" t="inlineStr"/>
    </row>
    <row r="9" ht="72" customHeight="1">
      <c r="A9" s="5" t="inlineStr">
        <is>
          <t>TC-RPT-005</t>
        </is>
      </c>
      <c r="B9" s="5" t="inlineStr">
        <is>
          <t>total_hands</t>
        </is>
      </c>
      <c r="C9" s="5" t="inlineStr">
        <is>
          <t>总手数</t>
        </is>
      </c>
      <c r="D9" s="6" t="inlineStr">
        <is>
          <t>P0</t>
        </is>
      </c>
      <c r="E9" s="7" t="inlineStr">
        <is>
          <t>等价类划分法</t>
        </is>
      </c>
      <c r="F9" s="7" t="inlineStr">
        <is>
          <t>Session基础</t>
        </is>
      </c>
      <c r="G9" s="7" t="inlineStr">
        <is>
          <t>是</t>
        </is>
      </c>
      <c r="H9" s="8" t="inlineStr">
        <is>
          <t>本场识别到的唯一手牌数量</t>
        </is>
      </c>
      <c r="I9" s="8" t="inlineStr">
        <is>
          <t>按唯一 hand_index / hand_id 去重计数</t>
        </is>
      </c>
      <c r="J9" s="8" t="inlineStr">
        <is>
          <t>总手数正例-完整入座手各算1手</t>
        </is>
      </c>
      <c r="K9" s="9" t="inlineStr">
        <is>
          <t>正例</t>
        </is>
      </c>
      <c r="L9" s="8" t="inlineStr">
        <is>
          <t>1、已登录，当前用户是 Hero。只用正例场。
2、视频素材里的手数=n</t>
        </is>
      </c>
      <c r="M9" s="8" t="inlineStr">
        <is>
          <t>1、上传素材，生成复盘报告，等到能打开。
2、打开「总手数」，检查是否为n。</t>
        </is>
      </c>
      <c r="N9" s="8" t="inlineStr">
        <is>
          <t>总手数=n</t>
        </is>
      </c>
      <c r="O9" s="8" t="inlineStr">
        <is>
          <t>session_summary.total_hands</t>
        </is>
      </c>
      <c r="P9" s="10" t="inlineStr">
        <is>
          <t>未执行</t>
        </is>
      </c>
      <c r="Q9" s="10" t="inlineStr"/>
      <c r="R9" s="11" t="inlineStr"/>
    </row>
    <row r="10" ht="72" customHeight="1">
      <c r="A10" s="5" t="inlineStr">
        <is>
          <t>TC-RPT-006</t>
        </is>
      </c>
      <c r="B10" s="5" t="inlineStr">
        <is>
          <t>total_hands</t>
        </is>
      </c>
      <c r="C10" s="5" t="inlineStr">
        <is>
          <t>总手数</t>
        </is>
      </c>
      <c r="D10" s="6" t="inlineStr">
        <is>
          <t>P0</t>
        </is>
      </c>
      <c r="E10" s="7" t="inlineStr">
        <is>
          <t>等价类划分法</t>
        </is>
      </c>
      <c r="F10" s="7" t="inlineStr">
        <is>
          <t>Session基础</t>
        </is>
      </c>
      <c r="G10" s="7" t="inlineStr">
        <is>
          <t>是</t>
        </is>
      </c>
      <c r="H10" s="8" t="inlineStr">
        <is>
          <t>本场识别到的唯一手牌数量</t>
        </is>
      </c>
      <c r="I10" s="8" t="inlineStr">
        <is>
          <t>按唯一 hand_index / hand_id 去重计数</t>
        </is>
      </c>
      <c r="J10" s="8" t="inlineStr">
        <is>
          <t>总手数反例-登录用户旁观未入座</t>
        </is>
      </c>
      <c r="K10" s="12" t="inlineStr">
        <is>
          <t>反例</t>
        </is>
      </c>
      <c r="L10" s="8" t="inlineStr">
        <is>
          <t>1、已登录，当前用户是 Hero。准备下列不该计入的素材。
2、录屏为登录用户旁观牌局，本人未入座、没有自己的手牌。本场应计入总手数=n（通常为 0）</t>
        </is>
      </c>
      <c r="M10" s="8" t="inlineStr">
        <is>
          <t>1、上传素材，生成复盘报告，等到能打开。
2、打开「总手数」，检查是否为n。</t>
        </is>
      </c>
      <c r="N10" s="8" t="inlineStr">
        <is>
          <t>总手数=n</t>
        </is>
      </c>
      <c r="O10" s="8" t="inlineStr">
        <is>
          <t>session_summary.total_hands</t>
        </is>
      </c>
      <c r="P10" s="10" t="inlineStr">
        <is>
          <t>未执行</t>
        </is>
      </c>
      <c r="Q10" s="10" t="inlineStr"/>
      <c r="R10" s="11" t="inlineStr"/>
    </row>
    <row r="11" ht="72" customHeight="1">
      <c r="A11" s="5" t="inlineStr">
        <is>
          <t>TC-RPT-007</t>
        </is>
      </c>
      <c r="B11" s="5" t="inlineStr">
        <is>
          <t>total_hands</t>
        </is>
      </c>
      <c r="C11" s="5" t="inlineStr">
        <is>
          <t>总手数</t>
        </is>
      </c>
      <c r="D11" s="6" t="inlineStr">
        <is>
          <t>P0</t>
        </is>
      </c>
      <c r="E11" s="7" t="inlineStr">
        <is>
          <t>等价类划分法</t>
        </is>
      </c>
      <c r="F11" s="7" t="inlineStr">
        <is>
          <t>Session基础</t>
        </is>
      </c>
      <c r="G11" s="7" t="inlineStr">
        <is>
          <t>是</t>
        </is>
      </c>
      <c r="H11" s="8" t="inlineStr">
        <is>
          <t>本场识别到的唯一手牌数量</t>
        </is>
      </c>
      <c r="I11" s="8" t="inlineStr">
        <is>
          <t>按唯一 hand_index / hand_id 去重计数</t>
        </is>
      </c>
      <c r="J11" s="8" t="inlineStr">
        <is>
          <t>总手数反例-另一场手不能算进来</t>
        </is>
      </c>
      <c r="K11" s="12" t="inlineStr">
        <is>
          <t>反例</t>
        </is>
      </c>
      <c r="L11" s="8" t="inlineStr">
        <is>
          <t>1、已登录，当前用户是 Hero。准备下列不该计入的素材。
2、另录一场对照。本场应计入总手数=n，另一场的手不能算进来</t>
        </is>
      </c>
      <c r="M11" s="8" t="inlineStr">
        <is>
          <t>1、上传素材，生成复盘报告，等到能打开。
2、打开「总手数」，检查是否为n。</t>
        </is>
      </c>
      <c r="N11" s="8" t="inlineStr">
        <is>
          <t>总手数=n</t>
        </is>
      </c>
      <c r="O11" s="8" t="inlineStr">
        <is>
          <t>session_summary.total_hands</t>
        </is>
      </c>
      <c r="P11" s="10" t="inlineStr">
        <is>
          <t>未执行</t>
        </is>
      </c>
      <c r="Q11" s="10" t="inlineStr"/>
      <c r="R11" s="11" t="inlineStr"/>
    </row>
    <row r="12" ht="72" customHeight="1">
      <c r="A12" s="5" t="inlineStr">
        <is>
          <t>TC-RPT-008</t>
        </is>
      </c>
      <c r="B12" s="5" t="inlineStr">
        <is>
          <t>total_hands</t>
        </is>
      </c>
      <c r="C12" s="5" t="inlineStr">
        <is>
          <t>总手数</t>
        </is>
      </c>
      <c r="D12" s="6" t="inlineStr">
        <is>
          <t>P0</t>
        </is>
      </c>
      <c r="E12" s="7" t="inlineStr">
        <is>
          <t>等价类划分法</t>
        </is>
      </c>
      <c r="F12" s="7" t="inlineStr">
        <is>
          <t>Session基础</t>
        </is>
      </c>
      <c r="G12" s="7" t="inlineStr">
        <is>
          <t>是</t>
        </is>
      </c>
      <c r="H12" s="8" t="inlineStr">
        <is>
          <t>本场识别到的唯一手牌数量</t>
        </is>
      </c>
      <c r="I12" s="8" t="inlineStr">
        <is>
          <t>按唯一 hand_index / hand_id 去重计数</t>
        </is>
      </c>
      <c r="J12" s="8" t="inlineStr">
        <is>
          <t>总手数反例-半手录不全</t>
        </is>
      </c>
      <c r="K12" s="12" t="inlineStr">
        <is>
          <t>反例</t>
        </is>
      </c>
      <c r="L12" s="8" t="inlineStr">
        <is>
          <t>1、已登录，当前用户是 Hero。准备下列不该计入的素材。
2、录像从一手中间开始或中途停录，看不全完整一手。本场应计入总手数=n</t>
        </is>
      </c>
      <c r="M12" s="8" t="inlineStr">
        <is>
          <t>1、上传素材，生成复盘报告，等到能打开。
2、打开「总手数」，检查是否为n。</t>
        </is>
      </c>
      <c r="N12" s="8" t="inlineStr">
        <is>
          <t>总手数=n</t>
        </is>
      </c>
      <c r="O12" s="8" t="inlineStr">
        <is>
          <t>session_summary.total_hands</t>
        </is>
      </c>
      <c r="P12" s="10" t="inlineStr">
        <is>
          <t>未执行</t>
        </is>
      </c>
      <c r="Q12" s="10" t="inlineStr"/>
      <c r="R12" s="11" t="inlineStr"/>
    </row>
    <row r="13" ht="72" customHeight="1">
      <c r="A13" s="5" t="inlineStr">
        <is>
          <t>TC-RPT-009</t>
        </is>
      </c>
      <c r="B13" s="5" t="inlineStr">
        <is>
          <t>total_hands</t>
        </is>
      </c>
      <c r="C13" s="5" t="inlineStr">
        <is>
          <t>总手数</t>
        </is>
      </c>
      <c r="D13" s="6" t="inlineStr">
        <is>
          <t>P0</t>
        </is>
      </c>
      <c r="E13" s="7" t="inlineStr">
        <is>
          <t>场景设计法</t>
        </is>
      </c>
      <c r="F13" s="7" t="inlineStr">
        <is>
          <t>Session基础</t>
        </is>
      </c>
      <c r="G13" s="7" t="inlineStr">
        <is>
          <t>是</t>
        </is>
      </c>
      <c r="H13" s="8" t="inlineStr">
        <is>
          <t>本场识别到的唯一手牌数量</t>
        </is>
      </c>
      <c r="I13" s="8" t="inlineStr">
        <is>
          <t>按唯一 hand_index / hand_id 去重计数</t>
        </is>
      </c>
      <c r="J13" s="8" t="inlineStr">
        <is>
          <t>总手数正例-同盲注跨游戏仍一场</t>
        </is>
      </c>
      <c r="K13" s="9" t="inlineStr">
        <is>
          <t>正例</t>
        </is>
      </c>
      <c r="L13" s="8" t="inlineStr">
        <is>
          <t>1、已登录，当前用户是 Hero。
2、一段录屏：游戏A切到游戏B，盲注一直是1/2。两游戏合计手数=n。应出session数=1</t>
        </is>
      </c>
      <c r="M13" s="8" t="inlineStr">
        <is>
          <t>1、上传素材，生成复盘报告，等到能打开。
2、看切出几个session。打开这一场「总手数」，检查是否为n。</t>
        </is>
      </c>
      <c r="N13" s="8" t="inlineStr">
        <is>
          <t>session个数=1，总手数=n</t>
        </is>
      </c>
      <c r="O13" s="8" t="inlineStr">
        <is>
          <t>session_summary.total_hands</t>
        </is>
      </c>
      <c r="P13" s="10" t="inlineStr">
        <is>
          <t>未执行</t>
        </is>
      </c>
      <c r="Q13" s="10" t="inlineStr"/>
      <c r="R13" s="11" t="inlineStr"/>
    </row>
    <row r="14" ht="72" customHeight="1">
      <c r="A14" s="5" t="inlineStr">
        <is>
          <t>TC-RPT-010</t>
        </is>
      </c>
      <c r="B14" s="5" t="inlineStr">
        <is>
          <t>total_hands</t>
        </is>
      </c>
      <c r="C14" s="5" t="inlineStr">
        <is>
          <t>总手数</t>
        </is>
      </c>
      <c r="D14" s="6" t="inlineStr">
        <is>
          <t>P0</t>
        </is>
      </c>
      <c r="E14" s="7" t="inlineStr">
        <is>
          <t>场景设计法</t>
        </is>
      </c>
      <c r="F14" s="7" t="inlineStr">
        <is>
          <t>Session基础</t>
        </is>
      </c>
      <c r="G14" s="7" t="inlineStr">
        <is>
          <t>是</t>
        </is>
      </c>
      <c r="H14" s="8" t="inlineStr">
        <is>
          <t>本场识别到的唯一手牌数量</t>
        </is>
      </c>
      <c r="I14" s="8" t="inlineStr">
        <is>
          <t>按唯一 hand_index / hand_id 去重计数</t>
        </is>
      </c>
      <c r="J14" s="8" t="inlineStr">
        <is>
          <t>总手数正例-换盲注切成两场</t>
        </is>
      </c>
      <c r="K14" s="9" t="inlineStr">
        <is>
          <t>正例</t>
        </is>
      </c>
      <c r="L14" s="8" t="inlineStr">
        <is>
          <t>1、已登录，当前用户是 Hero。
2、一段录屏：前半1/2有a手，后半3/4有b手。应出session数=2</t>
        </is>
      </c>
      <c r="M14" s="8" t="inlineStr">
        <is>
          <t>1、上传素材，生成复盘报告，等到能打开。
2、看切出几个session。分别打开1/2场、3/4场的「总手数」。</t>
        </is>
      </c>
      <c r="N14" s="8" t="inlineStr">
        <is>
          <t>session个数=2；1/2场总手数=a；3/4场总手数=b。3/4的手不能加进1/2场</t>
        </is>
      </c>
      <c r="O14" s="8" t="inlineStr">
        <is>
          <t>session_summary.total_hands</t>
        </is>
      </c>
      <c r="P14" s="10" t="inlineStr">
        <is>
          <t>未执行</t>
        </is>
      </c>
      <c r="Q14" s="10" t="inlineStr"/>
      <c r="R14" s="11" t="inlineStr"/>
    </row>
    <row r="15" ht="72" customHeight="1">
      <c r="A15" s="5" t="inlineStr">
        <is>
          <t>TC-RPT-011</t>
        </is>
      </c>
      <c r="B15" s="5" t="inlineStr">
        <is>
          <t>total_hands</t>
        </is>
      </c>
      <c r="C15" s="5" t="inlineStr">
        <is>
          <t>总手数</t>
        </is>
      </c>
      <c r="D15" s="6" t="inlineStr">
        <is>
          <t>P0</t>
        </is>
      </c>
      <c r="E15" s="7" t="inlineStr">
        <is>
          <t>场景设计法</t>
        </is>
      </c>
      <c r="F15" s="7" t="inlineStr">
        <is>
          <t>Session基础</t>
        </is>
      </c>
      <c r="G15" s="7" t="inlineStr">
        <is>
          <t>是</t>
        </is>
      </c>
      <c r="H15" s="8" t="inlineStr">
        <is>
          <t>本场识别到的唯一手牌数量</t>
        </is>
      </c>
      <c r="I15" s="8" t="inlineStr">
        <is>
          <t>按唯一 hand_index / hand_id 去重计数</t>
        </is>
      </c>
      <c r="J15" s="8" t="inlineStr">
        <is>
          <t>总手数正例-同盲注断开再出现拼回一场</t>
        </is>
      </c>
      <c r="K15" s="9" t="inlineStr">
        <is>
          <t>正例</t>
        </is>
      </c>
      <c r="L15" s="8" t="inlineStr">
        <is>
          <t>1、已登录，当前用户是 Hero。
2、一段录屏：1/2→3/4→1/2。两段1/2合计a手，3/4为b手。应出session数=2（不是3）</t>
        </is>
      </c>
      <c r="M15" s="8" t="inlineStr">
        <is>
          <t>1、上传素材，生成复盘报告，等到能打开。
2、看切出几个session。分别打开1/2场、3/4场的「总手数」。</t>
        </is>
      </c>
      <c r="N15" s="8" t="inlineStr">
        <is>
          <t>session个数=2，不是3；1/2场总手数=a（头尾两段加总）；3/4场总手数=b</t>
        </is>
      </c>
      <c r="O15" s="8" t="inlineStr">
        <is>
          <t>session_summary.total_hands</t>
        </is>
      </c>
      <c r="P15" s="10" t="inlineStr">
        <is>
          <t>未执行</t>
        </is>
      </c>
      <c r="Q15" s="10" t="inlineStr"/>
      <c r="R15" s="11" t="inlineStr"/>
    </row>
    <row r="16" ht="72" customHeight="1">
      <c r="A16" s="5" t="inlineStr">
        <is>
          <t>TC-RPT-012</t>
        </is>
      </c>
      <c r="B16" s="5" t="inlineStr">
        <is>
          <t>total_hands</t>
        </is>
      </c>
      <c r="C16" s="5" t="inlineStr">
        <is>
          <t>总手数</t>
        </is>
      </c>
      <c r="D16" s="6" t="inlineStr">
        <is>
          <t>P0</t>
        </is>
      </c>
      <c r="E16" s="7" t="inlineStr">
        <is>
          <t>场景设计法</t>
        </is>
      </c>
      <c r="F16" s="7" t="inlineStr">
        <is>
          <t>Session基础</t>
        </is>
      </c>
      <c r="G16" s="7" t="inlineStr">
        <is>
          <t>是</t>
        </is>
      </c>
      <c r="H16" s="8" t="inlineStr">
        <is>
          <t>本场识别到的唯一手牌数量</t>
        </is>
      </c>
      <c r="I16" s="8" t="inlineStr">
        <is>
          <t>按唯一 hand_index / hand_id 去重计数</t>
        </is>
      </c>
      <c r="J16" s="8" t="inlineStr">
        <is>
          <t>总手数正例-连续两局相同手牌各算1手</t>
        </is>
      </c>
      <c r="K16" s="9" t="inlineStr">
        <is>
          <t>正例</t>
        </is>
      </c>
      <c r="L16" s="8" t="inlineStr">
        <is>
          <t>1、已登录，当前用户是 Hero。
2、连续两局Hero拿到相同手牌且都是完整手。总手数应+2，不是去重+1</t>
        </is>
      </c>
      <c r="M16" s="8" t="inlineStr">
        <is>
          <t>1、上传素材，生成复盘报告，等到能打开。
2、打开「总手数」，检查是否为n+2。</t>
        </is>
      </c>
      <c r="N16" s="8" t="inlineStr">
        <is>
          <t>总手数=n+2</t>
        </is>
      </c>
      <c r="O16" s="8" t="inlineStr">
        <is>
          <t>session_summary.total_hands</t>
        </is>
      </c>
      <c r="P16" s="10" t="inlineStr">
        <is>
          <t>未执行</t>
        </is>
      </c>
      <c r="Q16" s="10" t="inlineStr"/>
      <c r="R16" s="11" t="inlineStr"/>
    </row>
    <row r="17" ht="72" customHeight="1">
      <c r="A17" s="5" t="inlineStr">
        <is>
          <t>TC-RPT-013</t>
        </is>
      </c>
      <c r="B17" s="5" t="inlineStr">
        <is>
          <t>total_hands</t>
        </is>
      </c>
      <c r="C17" s="5" t="inlineStr">
        <is>
          <t>总手数</t>
        </is>
      </c>
      <c r="D17" s="6" t="inlineStr">
        <is>
          <t>P0</t>
        </is>
      </c>
      <c r="E17" s="7" t="inlineStr">
        <is>
          <t>场景设计法</t>
        </is>
      </c>
      <c r="F17" s="7" t="inlineStr">
        <is>
          <t>Session基础</t>
        </is>
      </c>
      <c r="G17" s="7" t="inlineStr">
        <is>
          <t>是</t>
        </is>
      </c>
      <c r="H17" s="8" t="inlineStr">
        <is>
          <t>本场识别到的唯一手牌数量</t>
        </is>
      </c>
      <c r="I17" s="8" t="inlineStr">
        <is>
          <t>按唯一 hand_index / hand_id 去重计数</t>
        </is>
      </c>
      <c r="J17" s="8" t="inlineStr">
        <is>
          <t>总手数反例-全程遮挡或黑屏不计入</t>
        </is>
      </c>
      <c r="K17" s="12" t="inlineStr">
        <is>
          <t>反例</t>
        </is>
      </c>
      <c r="L17" s="8" t="inlineStr">
        <is>
          <t>1、已登录，当前用户是 Hero。
2、某手全程画面遮挡或黑屏，该手数据不全。总手数仍=n</t>
        </is>
      </c>
      <c r="M17" s="8" t="inlineStr">
        <is>
          <t>1、上传素材，生成复盘报告，等到能打开。
2、打开「总手数」，检查是否为n。</t>
        </is>
      </c>
      <c r="N17" s="8" t="inlineStr">
        <is>
          <t>总手数=n</t>
        </is>
      </c>
      <c r="O17" s="8" t="inlineStr">
        <is>
          <t>session_summary.total_hands</t>
        </is>
      </c>
      <c r="P17" s="10" t="inlineStr">
        <is>
          <t>未执行</t>
        </is>
      </c>
      <c r="Q17" s="10" t="inlineStr"/>
      <c r="R17" s="11" t="inlineStr"/>
    </row>
    <row r="18" ht="72" customHeight="1">
      <c r="A18" s="5" t="inlineStr">
        <is>
          <t>TC-RPT-014</t>
        </is>
      </c>
      <c r="B18" s="5" t="inlineStr">
        <is>
          <t>total_hands</t>
        </is>
      </c>
      <c r="C18" s="5" t="inlineStr">
        <is>
          <t>总手数</t>
        </is>
      </c>
      <c r="D18" s="6" t="inlineStr">
        <is>
          <t>P0</t>
        </is>
      </c>
      <c r="E18" s="7" t="inlineStr">
        <is>
          <t>场景设计法</t>
        </is>
      </c>
      <c r="F18" s="7" t="inlineStr">
        <is>
          <t>Session基础</t>
        </is>
      </c>
      <c r="G18" s="7" t="inlineStr">
        <is>
          <t>是</t>
        </is>
      </c>
      <c r="H18" s="8" t="inlineStr">
        <is>
          <t>本场识别到的唯一手牌数量</t>
        </is>
      </c>
      <c r="I18" s="8" t="inlineStr">
        <is>
          <t>按唯一 hand_index / hand_id 去重计数</t>
        </is>
      </c>
      <c r="J18" s="8" t="inlineStr">
        <is>
          <t>总手数反例-部分帧误识成别手不计入</t>
        </is>
      </c>
      <c r="K18" s="12" t="inlineStr">
        <is>
          <t>反例</t>
        </is>
      </c>
      <c r="L18" s="8" t="inlineStr">
        <is>
          <t>1、已登录，当前用户是 Hero。
2、Hero手牌K♥A♥，中间一两帧误识为T♥A♥，该手不应被拆成两手。总手数仍=n</t>
        </is>
      </c>
      <c r="M18" s="8" t="inlineStr">
        <is>
          <t>1、上传素材，生成复盘报告，等到能打开。
2、打开「总手数」，检查是否为n。</t>
        </is>
      </c>
      <c r="N18" s="8" t="inlineStr">
        <is>
          <t>总手数=n</t>
        </is>
      </c>
      <c r="O18" s="8" t="inlineStr">
        <is>
          <t>session_summary.total_hands</t>
        </is>
      </c>
      <c r="P18" s="10" t="inlineStr">
        <is>
          <t>未执行</t>
        </is>
      </c>
      <c r="Q18" s="10" t="inlineStr"/>
      <c r="R18" s="11" t="inlineStr"/>
    </row>
    <row r="19" ht="72" customHeight="1">
      <c r="A19" s="5" t="inlineStr">
        <is>
          <t>TC-RPT-015</t>
        </is>
      </c>
      <c r="B19" s="5" t="inlineStr">
        <is>
          <t>hands_played</t>
        </is>
      </c>
      <c r="C19" s="5" t="inlineStr">
        <is>
          <t>参与手数</t>
        </is>
      </c>
      <c r="D19" s="6" t="inlineStr">
        <is>
          <t>P0</t>
        </is>
      </c>
      <c r="E19" s="7" t="inlineStr">
        <is>
          <t>场景设计法</t>
        </is>
      </c>
      <c r="F19" s="7" t="inlineStr">
        <is>
          <t>Session基础</t>
        </is>
      </c>
      <c r="G19" s="7" t="inlineStr">
        <is>
          <t>是</t>
        </is>
      </c>
      <c r="H19" s="8" t="inlineStr">
        <is>
          <t>Hero 实际参与的手牌数量</t>
        </is>
      </c>
      <c r="I19" s="8" t="inlineStr">
        <is>
          <t>Hero 有主动入池、跟注、加注、盲注防守、进入翻后或产生盈亏即计入</t>
        </is>
      </c>
      <c r="J19" s="8" t="inlineStr">
        <is>
          <t>参与手数正例-Hero前面无人加注跟盲注</t>
        </is>
      </c>
      <c r="K19" s="9" t="inlineStr">
        <is>
          <t>正例</t>
        </is>
      </c>
      <c r="L19" s="8" t="inlineStr">
        <is>
          <t>1、已登录，当前用户是 Hero。
2、素材含一手：前面没人加注，用户平跟盲注。加上这一手后参与手数=n+1</t>
        </is>
      </c>
      <c r="M19" s="8" t="inlineStr">
        <is>
          <t>1、上传素材，生成复盘报告，等到能打开。
2、打开「参与手数」，检查是否为n+1。</t>
        </is>
      </c>
      <c r="N19" s="8" t="inlineStr">
        <is>
          <t>参与手数=n+1</t>
        </is>
      </c>
      <c r="O19" s="8" t="inlineStr">
        <is>
          <t>session_summary.hands_played</t>
        </is>
      </c>
      <c r="P19" s="10" t="inlineStr">
        <is>
          <t>未执行</t>
        </is>
      </c>
      <c r="Q19" s="10" t="inlineStr"/>
      <c r="R19" s="11" t="inlineStr"/>
    </row>
    <row r="20" ht="72" customHeight="1">
      <c r="A20" s="5" t="inlineStr">
        <is>
          <t>TC-RPT-016</t>
        </is>
      </c>
      <c r="B20" s="5" t="inlineStr">
        <is>
          <t>hands_played</t>
        </is>
      </c>
      <c r="C20" s="5" t="inlineStr">
        <is>
          <t>参与手数</t>
        </is>
      </c>
      <c r="D20" s="6" t="inlineStr">
        <is>
          <t>P0</t>
        </is>
      </c>
      <c r="E20" s="7" t="inlineStr">
        <is>
          <t>场景设计法</t>
        </is>
      </c>
      <c r="F20" s="7" t="inlineStr">
        <is>
          <t>Session基础</t>
        </is>
      </c>
      <c r="G20" s="7" t="inlineStr">
        <is>
          <t>是</t>
        </is>
      </c>
      <c r="H20" s="8" t="inlineStr">
        <is>
          <t>Hero 实际参与的手牌数量</t>
        </is>
      </c>
      <c r="I20" s="8" t="inlineStr">
        <is>
          <t>Hero 有主动入池、跟注、加注、盲注防守、进入翻后或产生盈亏即计入</t>
        </is>
      </c>
      <c r="J20" s="8" t="inlineStr">
        <is>
          <t>参与手数正例-Hero翻前率先加注</t>
        </is>
      </c>
      <c r="K20" s="9" t="inlineStr">
        <is>
          <t>正例</t>
        </is>
      </c>
      <c r="L20" s="8" t="inlineStr">
        <is>
          <t>1、已登录，当前用户是 Hero。
2、素材含一手：Hero翻前率先加注。加上这一手后参与手数=n+1</t>
        </is>
      </c>
      <c r="M20" s="8" t="inlineStr">
        <is>
          <t>1、上传素材，生成复盘报告，等到能打开。
2、打开「参与手数」，检查是否为n+1。</t>
        </is>
      </c>
      <c r="N20" s="8" t="inlineStr">
        <is>
          <t>参与手数=n+1</t>
        </is>
      </c>
      <c r="O20" s="8" t="inlineStr">
        <is>
          <t>session_summary.hands_played</t>
        </is>
      </c>
      <c r="P20" s="10" t="inlineStr">
        <is>
          <t>未执行</t>
        </is>
      </c>
      <c r="Q20" s="10" t="inlineStr"/>
      <c r="R20" s="11" t="inlineStr"/>
    </row>
    <row r="21" ht="72" customHeight="1">
      <c r="A21" s="5" t="inlineStr">
        <is>
          <t>TC-RPT-017</t>
        </is>
      </c>
      <c r="B21" s="5" t="inlineStr">
        <is>
          <t>hands_played</t>
        </is>
      </c>
      <c r="C21" s="5" t="inlineStr">
        <is>
          <t>参与手数</t>
        </is>
      </c>
      <c r="D21" s="6" t="inlineStr">
        <is>
          <t>P0</t>
        </is>
      </c>
      <c r="E21" s="7" t="inlineStr">
        <is>
          <t>场景设计法</t>
        </is>
      </c>
      <c r="F21" s="7" t="inlineStr">
        <is>
          <t>Session基础</t>
        </is>
      </c>
      <c r="G21" s="7" t="inlineStr">
        <is>
          <t>是</t>
        </is>
      </c>
      <c r="H21" s="8" t="inlineStr">
        <is>
          <t>Hero 实际参与的手牌数量</t>
        </is>
      </c>
      <c r="I21" s="8" t="inlineStr">
        <is>
          <t>Hero 有主动入池、跟注、加注、盲注防守、进入翻后或产生盈亏即计入</t>
        </is>
      </c>
      <c r="J21" s="8" t="inlineStr">
        <is>
          <t>参与手数正例-Hero跟加注后再加注时弃牌无翻牌</t>
        </is>
      </c>
      <c r="K21" s="9" t="inlineStr">
        <is>
          <t>正例</t>
        </is>
      </c>
      <c r="L21" s="8" t="inlineStr">
        <is>
          <t>1、已登录，当前用户是 Hero。
2、素材含一手：Hero跟了加注后再加注时弃牌，没有翻牌。加上这一手后参与手数=n+1</t>
        </is>
      </c>
      <c r="M21" s="8" t="inlineStr">
        <is>
          <t>1、上传素材，生成复盘报告，等到能打开。
2、打开「参与手数」，检查是否为n+1。</t>
        </is>
      </c>
      <c r="N21" s="8" t="inlineStr">
        <is>
          <t>参与手数=n+1</t>
        </is>
      </c>
      <c r="O21" s="8" t="inlineStr">
        <is>
          <t>session_summary.hands_played</t>
        </is>
      </c>
      <c r="P21" s="10" t="inlineStr">
        <is>
          <t>未执行</t>
        </is>
      </c>
      <c r="Q21" s="10" t="inlineStr"/>
      <c r="R21" s="11" t="inlineStr"/>
    </row>
    <row r="22" ht="72" customHeight="1">
      <c r="A22" s="5" t="inlineStr">
        <is>
          <t>TC-RPT-018</t>
        </is>
      </c>
      <c r="B22" s="5" t="inlineStr">
        <is>
          <t>hands_played</t>
        </is>
      </c>
      <c r="C22" s="5" t="inlineStr">
        <is>
          <t>参与手数</t>
        </is>
      </c>
      <c r="D22" s="6" t="inlineStr">
        <is>
          <t>P0</t>
        </is>
      </c>
      <c r="E22" s="7" t="inlineStr">
        <is>
          <t>场景设计法</t>
        </is>
      </c>
      <c r="F22" s="7" t="inlineStr">
        <is>
          <t>Session基础</t>
        </is>
      </c>
      <c r="G22" s="7" t="inlineStr">
        <is>
          <t>是</t>
        </is>
      </c>
      <c r="H22" s="8" t="inlineStr">
        <is>
          <t>Hero 实际参与的手牌数量</t>
        </is>
      </c>
      <c r="I22" s="8" t="inlineStr">
        <is>
          <t>Hero 有主动入池、跟注、加注、盲注防守、进入翻后或产生盈亏即计入</t>
        </is>
      </c>
      <c r="J22" s="8" t="inlineStr">
        <is>
          <t>参与手数正例-Hero翻前加注对手全弃无翻牌</t>
        </is>
      </c>
      <c r="K22" s="9" t="inlineStr">
        <is>
          <t>正例</t>
        </is>
      </c>
      <c r="L22" s="8" t="inlineStr">
        <is>
          <t>1、已登录，当前用户是 Hero。
2、素材含一手：Hero翻前加注，对手全弃，没有翻牌。加上这一手后参与手数=n+1</t>
        </is>
      </c>
      <c r="M22" s="8" t="inlineStr">
        <is>
          <t>1、上传素材，生成复盘报告，等到能打开。
2、打开「参与手数」，检查是否为n+1。</t>
        </is>
      </c>
      <c r="N22" s="8" t="inlineStr">
        <is>
          <t>参与手数=n+1</t>
        </is>
      </c>
      <c r="O22" s="8" t="inlineStr">
        <is>
          <t>session_summary.hands_played</t>
        </is>
      </c>
      <c r="P22" s="10" t="inlineStr">
        <is>
          <t>未执行</t>
        </is>
      </c>
      <c r="Q22" s="10" t="inlineStr"/>
      <c r="R22" s="11" t="inlineStr"/>
    </row>
    <row r="23" ht="72" customHeight="1">
      <c r="A23" s="5" t="inlineStr">
        <is>
          <t>TC-RPT-019</t>
        </is>
      </c>
      <c r="B23" s="5" t="inlineStr">
        <is>
          <t>hands_played</t>
        </is>
      </c>
      <c r="C23" s="5" t="inlineStr">
        <is>
          <t>参与手数</t>
        </is>
      </c>
      <c r="D23" s="6" t="inlineStr">
        <is>
          <t>P0</t>
        </is>
      </c>
      <c r="E23" s="7" t="inlineStr">
        <is>
          <t>场景设计法</t>
        </is>
      </c>
      <c r="F23" s="7" t="inlineStr">
        <is>
          <t>Session基础</t>
        </is>
      </c>
      <c r="G23" s="7" t="inlineStr">
        <is>
          <t>是</t>
        </is>
      </c>
      <c r="H23" s="8" t="inlineStr">
        <is>
          <t>Hero 实际参与的手牌数量</t>
        </is>
      </c>
      <c r="I23" s="8" t="inlineStr">
        <is>
          <t>Hero 有主动入池、跟注、加注、盲注防守、进入翻后或产生盈亏即计入</t>
        </is>
      </c>
      <c r="J23" s="8" t="inlineStr">
        <is>
          <t>参与手数正例-Hero坐大盲被加注后跟或再加</t>
        </is>
      </c>
      <c r="K23" s="9" t="inlineStr">
        <is>
          <t>正例</t>
        </is>
      </c>
      <c r="L23" s="8" t="inlineStr">
        <is>
          <t>1、已登录，当前用户是 Hero。
2、素材含一手：Hero坐大盲，被加后跟注或再加。加上这一手后参与手数=n+1</t>
        </is>
      </c>
      <c r="M23" s="8" t="inlineStr">
        <is>
          <t>1、上传素材，生成复盘报告，等到能打开。
2、打开「参与手数」，检查是否为n+1。</t>
        </is>
      </c>
      <c r="N23" s="8" t="inlineStr">
        <is>
          <t>参与手数=n+1</t>
        </is>
      </c>
      <c r="O23" s="8" t="inlineStr">
        <is>
          <t>session_summary.hands_played</t>
        </is>
      </c>
      <c r="P23" s="10" t="inlineStr">
        <is>
          <t>未执行</t>
        </is>
      </c>
      <c r="Q23" s="10" t="inlineStr"/>
      <c r="R23" s="11" t="inlineStr"/>
    </row>
    <row r="24" ht="72" customHeight="1">
      <c r="A24" s="5" t="inlineStr">
        <is>
          <t>TC-RPT-020</t>
        </is>
      </c>
      <c r="B24" s="5" t="inlineStr">
        <is>
          <t>hands_played</t>
        </is>
      </c>
      <c r="C24" s="5" t="inlineStr">
        <is>
          <t>参与手数</t>
        </is>
      </c>
      <c r="D24" s="6" t="inlineStr">
        <is>
          <t>P0</t>
        </is>
      </c>
      <c r="E24" s="7" t="inlineStr">
        <is>
          <t>场景设计法</t>
        </is>
      </c>
      <c r="F24" s="7" t="inlineStr">
        <is>
          <t>Session基础</t>
        </is>
      </c>
      <c r="G24" s="7" t="inlineStr">
        <is>
          <t>是</t>
        </is>
      </c>
      <c r="H24" s="8" t="inlineStr">
        <is>
          <t>Hero 实际参与的手牌数量</t>
        </is>
      </c>
      <c r="I24" s="8" t="inlineStr">
        <is>
          <t>Hero 有主动入池、跟注、加注、盲注防守、进入翻后或产生盈亏即计入</t>
        </is>
      </c>
      <c r="J24" s="8" t="inlineStr">
        <is>
          <t>参与手数正例-Hero大盲无人加注过牌看翻牌</t>
        </is>
      </c>
      <c r="K24" s="9" t="inlineStr">
        <is>
          <t>正例</t>
        </is>
      </c>
      <c r="L24" s="8" t="inlineStr">
        <is>
          <t>1、已登录，当前用户是 Hero。
2、素材含一手：Hero坐大盲，前面没人加注，用户过牌，发出翻牌。加上这一手后参与手数=n+1（主动参与率不含它）</t>
        </is>
      </c>
      <c r="M24" s="8" t="inlineStr">
        <is>
          <t>1、上传素材，生成复盘报告，等到能打开。
2、打开「参与手数」，检查是否为n+1。</t>
        </is>
      </c>
      <c r="N24" s="8" t="inlineStr">
        <is>
          <t>参与手数=n+1</t>
        </is>
      </c>
      <c r="O24" s="8" t="inlineStr">
        <is>
          <t>session_summary.hands_played</t>
        </is>
      </c>
      <c r="P24" s="10" t="inlineStr">
        <is>
          <t>未执行</t>
        </is>
      </c>
      <c r="Q24" s="10" t="inlineStr"/>
      <c r="R24" s="11" t="inlineStr"/>
    </row>
    <row r="25" ht="72" customHeight="1">
      <c r="A25" s="5" t="inlineStr">
        <is>
          <t>TC-RPT-021</t>
        </is>
      </c>
      <c r="B25" s="5" t="inlineStr">
        <is>
          <t>hands_played</t>
        </is>
      </c>
      <c r="C25" s="5" t="inlineStr">
        <is>
          <t>参与手数</t>
        </is>
      </c>
      <c r="D25" s="6" t="inlineStr">
        <is>
          <t>P0</t>
        </is>
      </c>
      <c r="E25" s="7" t="inlineStr">
        <is>
          <t>场景设计法</t>
        </is>
      </c>
      <c r="F25" s="7" t="inlineStr">
        <is>
          <t>Session基础</t>
        </is>
      </c>
      <c r="G25" s="7" t="inlineStr">
        <is>
          <t>是</t>
        </is>
      </c>
      <c r="H25" s="8" t="inlineStr">
        <is>
          <t>Hero 实际参与的手牌数量</t>
        </is>
      </c>
      <c r="I25" s="8" t="inlineStr">
        <is>
          <t>Hero 有主动入池、跟注、加注、盲注防守、进入翻后或产生盈亏即计入</t>
        </is>
      </c>
      <c r="J25" s="8" t="inlineStr">
        <is>
          <t>参与手数正例-翻前全下有人跟仍发翻牌</t>
        </is>
      </c>
      <c r="K25" s="9" t="inlineStr">
        <is>
          <t>正例</t>
        </is>
      </c>
      <c r="L25" s="8" t="inlineStr">
        <is>
          <t>1、已登录，当前用户是 Hero。
2、素材含一手：Hero翻前全下，至少一人跟注，随后发出翻牌，翻后用户不再行动。加上这一手后参与手数=n+1</t>
        </is>
      </c>
      <c r="M25" s="8" t="inlineStr">
        <is>
          <t>1、上传素材，生成复盘报告，等到能打开。
2、打开「参与手数」，检查是否为n+1。</t>
        </is>
      </c>
      <c r="N25" s="8" t="inlineStr">
        <is>
          <t>参与手数=n+1</t>
        </is>
      </c>
      <c r="O25" s="8" t="inlineStr">
        <is>
          <t>session_summary.hands_played</t>
        </is>
      </c>
      <c r="P25" s="10" t="inlineStr">
        <is>
          <t>未执行</t>
        </is>
      </c>
      <c r="Q25" s="10" t="inlineStr"/>
      <c r="R25" s="11" t="inlineStr"/>
    </row>
    <row r="26" ht="72" customHeight="1">
      <c r="A26" s="5" t="inlineStr">
        <is>
          <t>TC-RPT-022</t>
        </is>
      </c>
      <c r="B26" s="5" t="inlineStr">
        <is>
          <t>hands_played</t>
        </is>
      </c>
      <c r="C26" s="5" t="inlineStr">
        <is>
          <t>参与手数</t>
        </is>
      </c>
      <c r="D26" s="6" t="inlineStr">
        <is>
          <t>P0</t>
        </is>
      </c>
      <c r="E26" s="7" t="inlineStr">
        <is>
          <t>场景设计法</t>
        </is>
      </c>
      <c r="F26" s="7" t="inlineStr">
        <is>
          <t>Session基础</t>
        </is>
      </c>
      <c r="G26" s="7" t="inlineStr">
        <is>
          <t>是</t>
        </is>
      </c>
      <c r="H26" s="8" t="inlineStr">
        <is>
          <t>Hero 实际参与的手牌数量</t>
        </is>
      </c>
      <c r="I26" s="8" t="inlineStr">
        <is>
          <t>Hero 有主动入池、跟注、加注、盲注防守、进入翻后或产生盈亏即计入</t>
        </is>
      </c>
      <c r="J26" s="8" t="inlineStr">
        <is>
          <t>参与手数正例-Hero小盲位翻前直接弃牌亏1小盲</t>
        </is>
      </c>
      <c r="K26" s="9" t="inlineStr">
        <is>
          <t>正例</t>
        </is>
      </c>
      <c r="L26" s="8" t="inlineStr">
        <is>
          <t>1、已登录，当前用户是 Hero。
2、素材含一手：Hero坐小盲位，除已下小盲外未再下注，翻前直接弃牌，本手亏1小盲。参与手数=n+1（VPIP不含）</t>
        </is>
      </c>
      <c r="M26" s="8" t="inlineStr">
        <is>
          <t>1、上传素材，生成复盘报告，等到能打开。
2、打开「参与手数」，检查是否为n+1。</t>
        </is>
      </c>
      <c r="N26" s="8" t="inlineStr">
        <is>
          <t>参与手数=n+1</t>
        </is>
      </c>
      <c r="O26" s="8" t="inlineStr">
        <is>
          <t>session_summary.hands_played</t>
        </is>
      </c>
      <c r="P26" s="10" t="inlineStr">
        <is>
          <t>未执行</t>
        </is>
      </c>
      <c r="Q26" s="10" t="inlineStr"/>
      <c r="R26" s="11" t="inlineStr"/>
    </row>
    <row r="27" ht="72" customHeight="1">
      <c r="A27" s="5" t="inlineStr">
        <is>
          <t>TC-RPT-023</t>
        </is>
      </c>
      <c r="B27" s="5" t="inlineStr">
        <is>
          <t>hands_played</t>
        </is>
      </c>
      <c r="C27" s="5" t="inlineStr">
        <is>
          <t>参与手数</t>
        </is>
      </c>
      <c r="D27" s="6" t="inlineStr">
        <is>
          <t>P0</t>
        </is>
      </c>
      <c r="E27" s="7" t="inlineStr">
        <is>
          <t>场景设计法</t>
        </is>
      </c>
      <c r="F27" s="7" t="inlineStr">
        <is>
          <t>Session基础</t>
        </is>
      </c>
      <c r="G27" s="7" t="inlineStr">
        <is>
          <t>是</t>
        </is>
      </c>
      <c r="H27" s="8" t="inlineStr">
        <is>
          <t>Hero 实际参与的手牌数量</t>
        </is>
      </c>
      <c r="I27" s="8" t="inlineStr">
        <is>
          <t>Hero 有主动入池、跟注、加注、盲注防守、进入翻后或产生盈亏即计入</t>
        </is>
      </c>
      <c r="J27" s="8" t="inlineStr">
        <is>
          <t>参与手数正例-Hero大盲前面全弃收盲注无翻牌</t>
        </is>
      </c>
      <c r="K27" s="9" t="inlineStr">
        <is>
          <t>正例</t>
        </is>
      </c>
      <c r="L27" s="8" t="inlineStr">
        <is>
          <t>1、已登录，当前用户是 Hero。
2、素材含一手：Hero坐大盲，前面所有人弃牌到BB，Hero未跟未加，收走盲注，不发翻牌。参与手数=n+1</t>
        </is>
      </c>
      <c r="M27" s="8" t="inlineStr">
        <is>
          <t>1、上传素材，生成复盘报告，等到能打开。
2、打开「参与手数」，检查是否为n+1。</t>
        </is>
      </c>
      <c r="N27" s="8" t="inlineStr">
        <is>
          <t>参与手数=n+1</t>
        </is>
      </c>
      <c r="O27" s="8" t="inlineStr">
        <is>
          <t>session_summary.hands_played</t>
        </is>
      </c>
      <c r="P27" s="10" t="inlineStr">
        <is>
          <t>未执行</t>
        </is>
      </c>
      <c r="Q27" s="10" t="inlineStr"/>
      <c r="R27" s="11" t="inlineStr"/>
    </row>
    <row r="28" ht="72" customHeight="1">
      <c r="A28" s="5" t="inlineStr">
        <is>
          <t>TC-RPT-024</t>
        </is>
      </c>
      <c r="B28" s="5" t="inlineStr">
        <is>
          <t>hands_played</t>
        </is>
      </c>
      <c r="C28" s="5" t="inlineStr">
        <is>
          <t>参与手数</t>
        </is>
      </c>
      <c r="D28" s="6" t="inlineStr">
        <is>
          <t>P0</t>
        </is>
      </c>
      <c r="E28" s="7" t="inlineStr">
        <is>
          <t>场景设计法</t>
        </is>
      </c>
      <c r="F28" s="7" t="inlineStr">
        <is>
          <t>Session基础</t>
        </is>
      </c>
      <c r="G28" s="7" t="inlineStr">
        <is>
          <t>是</t>
        </is>
      </c>
      <c r="H28" s="8" t="inlineStr">
        <is>
          <t>Hero 实际参与的手牌数量</t>
        </is>
      </c>
      <c r="I28" s="8" t="inlineStr">
        <is>
          <t>Hero 有主动入池、跟注、加注、盲注防守、进入翻后或产生盈亏即计入</t>
        </is>
      </c>
      <c r="J28" s="8" t="inlineStr">
        <is>
          <t>参与手数正例-ClubGG托管大盲无人加注系统代过牌看翻牌</t>
        </is>
      </c>
      <c r="K28" s="9" t="inlineStr">
        <is>
          <t>正例</t>
        </is>
      </c>
      <c r="L28" s="8" t="inlineStr">
        <is>
          <t>1、已登录，当前用户是 Hero。
2、素材含一手（ClubGG）：Hero处于托管，坐大盲，前面无人加注（可小盲平跟），轮到Hero时系统代其过牌，发出翻牌。参与手数=n+1（主动参与率不含）</t>
        </is>
      </c>
      <c r="M28" s="8" t="inlineStr">
        <is>
          <t>1、上传素材，生成复盘报告，等到能打开。
2、打开「参与手数」，检查是否为n+1。</t>
        </is>
      </c>
      <c r="N28" s="8" t="inlineStr">
        <is>
          <t>参与手数=n+1</t>
        </is>
      </c>
      <c r="O28" s="8" t="inlineStr">
        <is>
          <t>session_summary.hands_played</t>
        </is>
      </c>
      <c r="P28" s="10" t="inlineStr">
        <is>
          <t>未执行</t>
        </is>
      </c>
      <c r="Q28" s="10" t="inlineStr"/>
      <c r="R28" s="11" t="inlineStr"/>
    </row>
    <row r="29" ht="72" customHeight="1">
      <c r="A29" s="5" t="inlineStr">
        <is>
          <t>TC-RPT-025</t>
        </is>
      </c>
      <c r="B29" s="5" t="inlineStr">
        <is>
          <t>hands_played</t>
        </is>
      </c>
      <c r="C29" s="5" t="inlineStr">
        <is>
          <t>参与手数</t>
        </is>
      </c>
      <c r="D29" s="6" t="inlineStr">
        <is>
          <t>P0</t>
        </is>
      </c>
      <c r="E29" s="7" t="inlineStr">
        <is>
          <t>场景设计法</t>
        </is>
      </c>
      <c r="F29" s="7" t="inlineStr">
        <is>
          <t>Session基础</t>
        </is>
      </c>
      <c r="G29" s="7" t="inlineStr">
        <is>
          <t>是</t>
        </is>
      </c>
      <c r="H29" s="8" t="inlineStr">
        <is>
          <t>Hero 实际参与的手牌数量</t>
        </is>
      </c>
      <c r="I29" s="8" t="inlineStr">
        <is>
          <t>Hero 有主动入池、跟注、加注、盲注防守、进入翻后或产生盈亏即计入</t>
        </is>
      </c>
      <c r="J29" s="8" t="inlineStr">
        <is>
          <t>参与手数正例-WePoker托管大盲小盲平跟系统代弃牌亏大盲</t>
        </is>
      </c>
      <c r="K29" s="9" t="inlineStr">
        <is>
          <t>正例</t>
        </is>
      </c>
      <c r="L29" s="8" t="inlineStr">
        <is>
          <t>1、已登录，当前用户是 Hero。
2、素材含一手（WePoker）：Hero处于托管，坐大盲，小盲已平跟且无人再加，轮到Hero时系统代其翻前弃牌（非过牌），本手亏大盲，不发翻牌。参与手数=n+1（主动参与率不含）</t>
        </is>
      </c>
      <c r="M29" s="8" t="inlineStr">
        <is>
          <t>1、上传素材，生成复盘报告，等到能打开。
2、打开「参与手数」，检查是否为n+1。</t>
        </is>
      </c>
      <c r="N29" s="8" t="inlineStr">
        <is>
          <t>参与手数=n+1</t>
        </is>
      </c>
      <c r="O29" s="8" t="inlineStr">
        <is>
          <t>session_summary.hands_played</t>
        </is>
      </c>
      <c r="P29" s="10" t="inlineStr">
        <is>
          <t>未执行</t>
        </is>
      </c>
      <c r="Q29" s="10" t="inlineStr"/>
      <c r="R29" s="11" t="inlineStr"/>
    </row>
    <row r="30" ht="72" customHeight="1">
      <c r="A30" s="5" t="inlineStr">
        <is>
          <t>TC-RPT-026</t>
        </is>
      </c>
      <c r="B30" s="5" t="inlineStr">
        <is>
          <t>hands_played</t>
        </is>
      </c>
      <c r="C30" s="5" t="inlineStr">
        <is>
          <t>参与手数</t>
        </is>
      </c>
      <c r="D30" s="6" t="inlineStr">
        <is>
          <t>P0</t>
        </is>
      </c>
      <c r="E30" s="7" t="inlineStr">
        <is>
          <t>场景设计法</t>
        </is>
      </c>
      <c r="F30" s="7" t="inlineStr">
        <is>
          <t>Session基础</t>
        </is>
      </c>
      <c r="G30" s="7" t="inlineStr">
        <is>
          <t>是</t>
        </is>
      </c>
      <c r="H30" s="8" t="inlineStr">
        <is>
          <t>Hero 实际参与的手牌数量</t>
        </is>
      </c>
      <c r="I30" s="8" t="inlineStr">
        <is>
          <t>Hero 有主动入池、跟注、加注、盲注防守、进入翻后或产生盈亏即计入</t>
        </is>
      </c>
      <c r="J30" s="8" t="inlineStr">
        <is>
          <t>参与手数正例-Hero托管小盲系统代翻前弃牌亏1小盲两款通用</t>
        </is>
      </c>
      <c r="K30" s="9" t="inlineStr">
        <is>
          <t>正例</t>
        </is>
      </c>
      <c r="L30" s="8" t="inlineStr">
        <is>
          <t>1、已登录，当前用户是 Hero。
2、素材含一手（ClubGG/WePoker通用）：Hero处于托管，坐小盲位，系统代其翻前弃牌，本手亏1小盲。参与手数=n+1（VPIP不含）</t>
        </is>
      </c>
      <c r="M30" s="8" t="inlineStr">
        <is>
          <t>1、上传素材，生成复盘报告，等到能打开。
2、打开「参与手数」，检查是否为n+1。</t>
        </is>
      </c>
      <c r="N30" s="8" t="inlineStr">
        <is>
          <t>参与手数=n+1</t>
        </is>
      </c>
      <c r="O30" s="8" t="inlineStr">
        <is>
          <t>session_summary.hands_played</t>
        </is>
      </c>
      <c r="P30" s="10" t="inlineStr">
        <is>
          <t>未执行</t>
        </is>
      </c>
      <c r="Q30" s="10" t="inlineStr"/>
      <c r="R30" s="11" t="inlineStr"/>
    </row>
    <row r="31" ht="72" customHeight="1">
      <c r="A31" s="5" t="inlineStr">
        <is>
          <t>TC-RPT-027</t>
        </is>
      </c>
      <c r="B31" s="5" t="inlineStr">
        <is>
          <t>hands_played</t>
        </is>
      </c>
      <c r="C31" s="5" t="inlineStr">
        <is>
          <t>参与手数</t>
        </is>
      </c>
      <c r="D31" s="6" t="inlineStr">
        <is>
          <t>P0</t>
        </is>
      </c>
      <c r="E31" s="7" t="inlineStr">
        <is>
          <t>场景设计法</t>
        </is>
      </c>
      <c r="F31" s="7" t="inlineStr">
        <is>
          <t>Session基础</t>
        </is>
      </c>
      <c r="G31" s="7" t="inlineStr">
        <is>
          <t>是</t>
        </is>
      </c>
      <c r="H31" s="8" t="inlineStr">
        <is>
          <t>Hero 实际参与的手牌数量</t>
        </is>
      </c>
      <c r="I31" s="8" t="inlineStr">
        <is>
          <t>Hero 有主动入池、跟注、加注、盲注防守、进入翻后或产生盈亏即计入</t>
        </is>
      </c>
      <c r="J31" s="8" t="inlineStr">
        <is>
          <t>参与手数正例-Hero托管被加注系统代翻前弃牌有盈亏两款通用</t>
        </is>
      </c>
      <c r="K31" s="9" t="inlineStr">
        <is>
          <t>正例</t>
        </is>
      </c>
      <c r="L31" s="8" t="inlineStr">
        <is>
          <t>1、已登录，当前用户是 Hero。
2、素材含一手（ClubGG/WePoker通用）：Hero处于托管，前面有人加注，系统代其翻前弃牌，本手有盈亏（如已下盲后弃）。参与手数=n+1</t>
        </is>
      </c>
      <c r="M31" s="8" t="inlineStr">
        <is>
          <t>1、上传素材，生成复盘报告，等到能打开。
2、打开「参与手数」，检查是否为n+1。</t>
        </is>
      </c>
      <c r="N31" s="8" t="inlineStr">
        <is>
          <t>参与手数=n+1</t>
        </is>
      </c>
      <c r="O31" s="8" t="inlineStr">
        <is>
          <t>session_summary.hands_played</t>
        </is>
      </c>
      <c r="P31" s="10" t="inlineStr">
        <is>
          <t>未执行</t>
        </is>
      </c>
      <c r="Q31" s="10" t="inlineStr"/>
      <c r="R31" s="11" t="inlineStr"/>
    </row>
    <row r="32" ht="72" customHeight="1">
      <c r="A32" s="5" t="inlineStr">
        <is>
          <t>TC-RPT-028</t>
        </is>
      </c>
      <c r="B32" s="5" t="inlineStr">
        <is>
          <t>hands_played</t>
        </is>
      </c>
      <c r="C32" s="5" t="inlineStr">
        <is>
          <t>参与手数</t>
        </is>
      </c>
      <c r="D32" s="6" t="inlineStr">
        <is>
          <t>P0</t>
        </is>
      </c>
      <c r="E32" s="7" t="inlineStr">
        <is>
          <t>场景设计法</t>
        </is>
      </c>
      <c r="F32" s="7" t="inlineStr">
        <is>
          <t>Session基础</t>
        </is>
      </c>
      <c r="G32" s="7" t="inlineStr">
        <is>
          <t>是</t>
        </is>
      </c>
      <c r="H32" s="8" t="inlineStr">
        <is>
          <t>Hero 实际参与的手牌数量</t>
        </is>
      </c>
      <c r="I32" s="8" t="inlineStr">
        <is>
          <t>Hero 有主动入池、跟注、加注、盲注防守、进入翻后或产生盈亏即计入</t>
        </is>
      </c>
      <c r="J32" s="8" t="inlineStr">
        <is>
          <t>参与手数正例-平跟进翻后有盈亏仍只算1手</t>
        </is>
      </c>
      <c r="K32" s="9" t="inlineStr">
        <is>
          <t>正例</t>
        </is>
      </c>
      <c r="L32" s="8" t="inlineStr">
        <is>
          <t>1、已登录，当前用户是 Hero。
2、素材含一手：同时平跟、进了翻后、本手有盈亏。加上这一手后参与手数只+1，不是+3</t>
        </is>
      </c>
      <c r="M32" s="8" t="inlineStr">
        <is>
          <t>1、上传素材，生成复盘报告，等到能打开。
2、打开「参与手数」，检查是否为n+1。</t>
        </is>
      </c>
      <c r="N32" s="8" t="inlineStr">
        <is>
          <t>参与手数=n+1</t>
        </is>
      </c>
      <c r="O32" s="8" t="inlineStr">
        <is>
          <t>session_summary.hands_played</t>
        </is>
      </c>
      <c r="P32" s="10" t="inlineStr">
        <is>
          <t>未执行</t>
        </is>
      </c>
      <c r="Q32" s="10" t="inlineStr"/>
      <c r="R32" s="11" t="inlineStr"/>
    </row>
    <row r="33" ht="72" customHeight="1">
      <c r="A33" s="5" t="inlineStr">
        <is>
          <t>TC-RPT-029</t>
        </is>
      </c>
      <c r="B33" s="5" t="inlineStr">
        <is>
          <t>hands_played</t>
        </is>
      </c>
      <c r="C33" s="5" t="inlineStr">
        <is>
          <t>参与手数</t>
        </is>
      </c>
      <c r="D33" s="6" t="inlineStr">
        <is>
          <t>P0</t>
        </is>
      </c>
      <c r="E33" s="7" t="inlineStr">
        <is>
          <t>场景设计法</t>
        </is>
      </c>
      <c r="F33" s="7" t="inlineStr">
        <is>
          <t>Session基础</t>
        </is>
      </c>
      <c r="G33" s="7" t="inlineStr">
        <is>
          <t>是</t>
        </is>
      </c>
      <c r="H33" s="8" t="inlineStr">
        <is>
          <t>Hero 实际参与的手牌数量</t>
        </is>
      </c>
      <c r="I33" s="8" t="inlineStr">
        <is>
          <t>Hero 有主动入池、跟注、加注、盲注防守、进入翻后或产生盈亏即计入</t>
        </is>
      </c>
      <c r="J33" s="8" t="inlineStr">
        <is>
          <t>参与手数反例-Hero前位翻前弃牌盈亏为0</t>
        </is>
      </c>
      <c r="K33" s="12" t="inlineStr">
        <is>
          <t>反例</t>
        </is>
      </c>
      <c r="L33" s="8" t="inlineStr">
        <is>
          <t>1、已登录，当前用户是 Hero。
2、素材含一手：Hero前位翻前弃牌，盈亏=0。总手数含它，参与手数仍=n</t>
        </is>
      </c>
      <c r="M33" s="8" t="inlineStr">
        <is>
          <t>1、上传素材，生成复盘报告，等到能打开。
2、打开「参与手数」，检查是否为n。</t>
        </is>
      </c>
      <c r="N33" s="8" t="inlineStr">
        <is>
          <t>参与手数=n</t>
        </is>
      </c>
      <c r="O33" s="8" t="inlineStr">
        <is>
          <t>session_summary.hands_played</t>
        </is>
      </c>
      <c r="P33" s="10" t="inlineStr">
        <is>
          <t>未执行</t>
        </is>
      </c>
      <c r="Q33" s="10" t="inlineStr"/>
      <c r="R33" s="11" t="inlineStr"/>
    </row>
    <row r="34" ht="72" customHeight="1">
      <c r="A34" s="5" t="inlineStr">
        <is>
          <t>TC-RPT-030</t>
        </is>
      </c>
      <c r="B34" s="5" t="inlineStr">
        <is>
          <t>hands_played</t>
        </is>
      </c>
      <c r="C34" s="5" t="inlineStr">
        <is>
          <t>参与手数</t>
        </is>
      </c>
      <c r="D34" s="6" t="inlineStr">
        <is>
          <t>P0</t>
        </is>
      </c>
      <c r="E34" s="7" t="inlineStr">
        <is>
          <t>场景设计法</t>
        </is>
      </c>
      <c r="F34" s="7" t="inlineStr">
        <is>
          <t>Session基础</t>
        </is>
      </c>
      <c r="G34" s="7" t="inlineStr">
        <is>
          <t>是</t>
        </is>
      </c>
      <c r="H34" s="8" t="inlineStr">
        <is>
          <t>Hero 实际参与的手牌数量</t>
        </is>
      </c>
      <c r="I34" s="8" t="inlineStr">
        <is>
          <t>Hero 有主动入池、跟注、加注、盲注防守、进入翻后或产生盈亏即计入</t>
        </is>
      </c>
      <c r="J34" s="8" t="inlineStr">
        <is>
          <t>参与手数反例-Hero托管前位系统代翻前弃牌盈亏为0两款通用</t>
        </is>
      </c>
      <c r="K34" s="12" t="inlineStr">
        <is>
          <t>反例</t>
        </is>
      </c>
      <c r="L34" s="8" t="inlineStr">
        <is>
          <t>1、已登录，当前用户是 Hero。
2、素材含一手（ClubGG/WePoker通用）：Hero处于托管，前位轮到Hero时系统代其翻前弃牌，盈亏=0。总手数含它，参与手数仍=n</t>
        </is>
      </c>
      <c r="M34" s="8" t="inlineStr">
        <is>
          <t>1、上传素材，生成复盘报告，等到能打开。
2、打开「参与手数」，检查是否为n。</t>
        </is>
      </c>
      <c r="N34" s="8" t="inlineStr">
        <is>
          <t>参与手数=n</t>
        </is>
      </c>
      <c r="O34" s="8" t="inlineStr">
        <is>
          <t>session_summary.hands_played</t>
        </is>
      </c>
      <c r="P34" s="10" t="inlineStr">
        <is>
          <t>未执行</t>
        </is>
      </c>
      <c r="Q34" s="10" t="inlineStr"/>
      <c r="R34" s="11" t="inlineStr"/>
    </row>
    <row r="35" ht="72" customHeight="1">
      <c r="A35" s="5" t="inlineStr">
        <is>
          <t>TC-RPT-031</t>
        </is>
      </c>
      <c r="B35" s="5" t="inlineStr">
        <is>
          <t>hands_played</t>
        </is>
      </c>
      <c r="C35" s="5" t="inlineStr">
        <is>
          <t>参与手数</t>
        </is>
      </c>
      <c r="D35" s="6" t="inlineStr">
        <is>
          <t>P0</t>
        </is>
      </c>
      <c r="E35" s="7" t="inlineStr">
        <is>
          <t>场景设计法</t>
        </is>
      </c>
      <c r="F35" s="7" t="inlineStr">
        <is>
          <t>Session基础</t>
        </is>
      </c>
      <c r="G35" s="7" t="inlineStr">
        <is>
          <t>是</t>
        </is>
      </c>
      <c r="H35" s="8" t="inlineStr">
        <is>
          <t>Hero 实际参与的手牌数量</t>
        </is>
      </c>
      <c r="I35" s="8" t="inlineStr">
        <is>
          <t>Hero 有主动入池、跟注、加注、盲注防守、进入翻后或产生盈亏即计入</t>
        </is>
      </c>
      <c r="J35" s="8" t="inlineStr">
        <is>
          <t>参与手数反例-登录用户旁观未入座</t>
        </is>
      </c>
      <c r="K35" s="12" t="inlineStr">
        <is>
          <t>反例</t>
        </is>
      </c>
      <c r="L35" s="8" t="inlineStr">
        <is>
          <t>1、已登录，当前用户是 Hero。
2、录屏为登录用户旁观牌局，本人未入座、没有自己的手牌。本场应计入参与手数=n（通常为 0）</t>
        </is>
      </c>
      <c r="M35" s="8" t="inlineStr">
        <is>
          <t>1、上传素材，生成复盘报告，等到能打开。
2、打开「参与手数」，检查是否为n。</t>
        </is>
      </c>
      <c r="N35" s="8" t="inlineStr">
        <is>
          <t>参与手数=n</t>
        </is>
      </c>
      <c r="O35" s="8" t="inlineStr">
        <is>
          <t>session_summary.hands_played</t>
        </is>
      </c>
      <c r="P35" s="10" t="inlineStr">
        <is>
          <t>未执行</t>
        </is>
      </c>
      <c r="Q35" s="10" t="inlineStr"/>
      <c r="R35" s="11" t="inlineStr"/>
    </row>
    <row r="36" ht="72" customHeight="1">
      <c r="A36" s="5" t="inlineStr">
        <is>
          <t>TC-RPT-032</t>
        </is>
      </c>
      <c r="B36" s="5" t="inlineStr">
        <is>
          <t>hands_played</t>
        </is>
      </c>
      <c r="C36" s="5" t="inlineStr">
        <is>
          <t>参与手数</t>
        </is>
      </c>
      <c r="D36" s="6" t="inlineStr">
        <is>
          <t>P0</t>
        </is>
      </c>
      <c r="E36" s="7" t="inlineStr">
        <is>
          <t>场景设计法</t>
        </is>
      </c>
      <c r="F36" s="7" t="inlineStr">
        <is>
          <t>Session基础</t>
        </is>
      </c>
      <c r="G36" s="7" t="inlineStr">
        <is>
          <t>是</t>
        </is>
      </c>
      <c r="H36" s="8" t="inlineStr">
        <is>
          <t>Hero 实际参与的手牌数量</t>
        </is>
      </c>
      <c r="I36" s="8" t="inlineStr">
        <is>
          <t>Hero 有主动入池、跟注、加注、盲注防守、进入翻后或产生盈亏即计入</t>
        </is>
      </c>
      <c r="J36" s="8" t="inlineStr">
        <is>
          <t>参与手数反例-Hero抢注位直接弃牌不计入</t>
        </is>
      </c>
      <c r="K36" s="12" t="inlineStr">
        <is>
          <t>反例</t>
        </is>
      </c>
      <c r="L36" s="8" t="inlineStr">
        <is>
          <t>1、已登录，当前用户是 Hero。
2、素材含一手：Hero坐STRADDLE（抢注）位，除已下抢注外翻前直接弃牌，盈亏=0。总手数含它，参与手数仍=n</t>
        </is>
      </c>
      <c r="M36" s="8" t="inlineStr">
        <is>
          <t>1、上传素材，生成复盘报告，等到能打开。
2、打开「参与手数」，检查是否为n。</t>
        </is>
      </c>
      <c r="N36" s="8" t="inlineStr">
        <is>
          <t>参与手数=n</t>
        </is>
      </c>
      <c r="O36" s="8" t="inlineStr">
        <is>
          <t>session_summary.hands_played</t>
        </is>
      </c>
      <c r="P36" s="10" t="inlineStr">
        <is>
          <t>未执行</t>
        </is>
      </c>
      <c r="Q36" s="10" t="inlineStr"/>
      <c r="R36" s="11" t="inlineStr"/>
    </row>
    <row r="37" ht="72" customHeight="1">
      <c r="A37" s="5" t="inlineStr">
        <is>
          <t>TC-RPT-033</t>
        </is>
      </c>
      <c r="B37" s="5" t="inlineStr">
        <is>
          <t>hands_played</t>
        </is>
      </c>
      <c r="C37" s="5" t="inlineStr">
        <is>
          <t>参与手数</t>
        </is>
      </c>
      <c r="D37" s="6" t="inlineStr">
        <is>
          <t>P0</t>
        </is>
      </c>
      <c r="E37" s="7" t="inlineStr">
        <is>
          <t>场景设计法</t>
        </is>
      </c>
      <c r="F37" s="7" t="inlineStr">
        <is>
          <t>Session基础</t>
        </is>
      </c>
      <c r="G37" s="7" t="inlineStr">
        <is>
          <t>是</t>
        </is>
      </c>
      <c r="H37" s="8" t="inlineStr">
        <is>
          <t>Hero 实际参与的手牌数量</t>
        </is>
      </c>
      <c r="I37" s="8" t="inlineStr">
        <is>
          <t>Hero 有主动入池、跟注、加注、盲注防守、进入翻后或产生盈亏即计入</t>
        </is>
      </c>
      <c r="J37" s="8" t="inlineStr">
        <is>
          <t>参与手数反例-Hero中途补盲后直接弃牌不计入</t>
        </is>
      </c>
      <c r="K37" s="12" t="inlineStr">
        <is>
          <t>反例</t>
        </is>
      </c>
      <c r="L37" s="8" t="inlineStr">
        <is>
          <t>1、已登录，当前用户是 Hero。
2、素材含一手：Hero中途加入补盲后翻前直接弃牌，盈亏=0。总手数含它，参与手数仍=n</t>
        </is>
      </c>
      <c r="M37" s="8" t="inlineStr">
        <is>
          <t>1、上传素材，生成复盘报告，等到能打开。
2、打开「参与手数」，检查是否为n。</t>
        </is>
      </c>
      <c r="N37" s="8" t="inlineStr">
        <is>
          <t>参与手数=n</t>
        </is>
      </c>
      <c r="O37" s="8" t="inlineStr">
        <is>
          <t>session_summary.hands_played</t>
        </is>
      </c>
      <c r="P37" s="10" t="inlineStr">
        <is>
          <t>未执行</t>
        </is>
      </c>
      <c r="Q37" s="10" t="inlineStr"/>
      <c r="R37" s="11" t="inlineStr"/>
    </row>
    <row r="38" ht="72" customHeight="1">
      <c r="A38" s="5" t="inlineStr">
        <is>
          <t>TC-RPT-034</t>
        </is>
      </c>
      <c r="B38" s="5" t="inlineStr">
        <is>
          <t>folded_preflop_hands</t>
        </is>
      </c>
      <c r="C38" s="5" t="inlineStr">
        <is>
          <t>翻前弃牌手数</t>
        </is>
      </c>
      <c r="D38" s="6" t="inlineStr">
        <is>
          <t>P0</t>
        </is>
      </c>
      <c r="E38" s="7" t="inlineStr">
        <is>
          <t>等价类划分法</t>
        </is>
      </c>
      <c r="F38" s="7" t="inlineStr">
        <is>
          <t>Session基础</t>
        </is>
      </c>
      <c r="G38" s="7" t="inlineStr">
        <is>
          <t>是</t>
        </is>
      </c>
      <c r="H38" s="8" t="inlineStr">
        <is>
          <t>Hero 翻前未继续入池并弃牌的手牌数量</t>
        </is>
      </c>
      <c r="I38" s="8" t="inlineStr">
        <is>
          <t>Hero 翻前 fold 且未进入翻后的手牌数</t>
        </is>
      </c>
      <c r="J38" s="8" t="inlineStr">
        <is>
          <t>翻前弃牌手数正例-翻前弃牌且未发翻牌</t>
        </is>
      </c>
      <c r="K38" s="9" t="inlineStr">
        <is>
          <t>正例</t>
        </is>
      </c>
      <c r="L38" s="8" t="inlineStr">
        <is>
          <t>1、已登录，当前用户是 Hero。只用正例场。
2、素材里「翻前弃牌手数」应对的值=n</t>
        </is>
      </c>
      <c r="M38" s="8" t="inlineStr">
        <is>
          <t>1、上传素材，生成复盘报告，等到能打开。
2、打开「翻前弃牌手数」，检查是否为n。</t>
        </is>
      </c>
      <c r="N38" s="8" t="inlineStr">
        <is>
          <t>翻前弃牌手数=n</t>
        </is>
      </c>
      <c r="O38" s="8" t="inlineStr">
        <is>
          <t>session_summary.folded_preflop_hands</t>
        </is>
      </c>
      <c r="P38" s="10" t="inlineStr">
        <is>
          <t>未执行</t>
        </is>
      </c>
      <c r="Q38" s="10" t="inlineStr"/>
      <c r="R38" s="11" t="inlineStr"/>
    </row>
    <row r="39" ht="72" customHeight="1">
      <c r="A39" s="5" t="inlineStr">
        <is>
          <t>TC-RPT-035</t>
        </is>
      </c>
      <c r="B39" s="5" t="inlineStr">
        <is>
          <t>folded_preflop_hands</t>
        </is>
      </c>
      <c r="C39" s="5" t="inlineStr">
        <is>
          <t>翻前弃牌手数</t>
        </is>
      </c>
      <c r="D39" s="6" t="inlineStr">
        <is>
          <t>P0</t>
        </is>
      </c>
      <c r="E39" s="7" t="inlineStr">
        <is>
          <t>等价类划分法</t>
        </is>
      </c>
      <c r="F39" s="7" t="inlineStr">
        <is>
          <t>Session基础</t>
        </is>
      </c>
      <c r="G39" s="7" t="inlineStr">
        <is>
          <t>是</t>
        </is>
      </c>
      <c r="H39" s="8" t="inlineStr">
        <is>
          <t>Hero 翻前未继续入池并弃牌的手牌数量</t>
        </is>
      </c>
      <c r="I39" s="8" t="inlineStr">
        <is>
          <t>Hero 翻前 fold 且未进入翻后的手牌数</t>
        </is>
      </c>
      <c r="J39" s="8" t="inlineStr">
        <is>
          <t>翻前弃牌手数反例-翻前跟注或加注翻牌后才弃或大盲无人加注过牌看翻牌</t>
        </is>
      </c>
      <c r="K39" s="12" t="inlineStr">
        <is>
          <t>反例</t>
        </is>
      </c>
      <c r="L39" s="8" t="inlineStr">
        <is>
          <t>1、已登录，当前用户是 Hero。准备下列不该计入的素材。
2、Hero翻前全下无人跟收池。用户没有fold，翻前弃牌手数不含，「翻前弃牌手数」仍=n</t>
        </is>
      </c>
      <c r="M39" s="8" t="inlineStr">
        <is>
          <t>1、上传素材，生成复盘报告，等到能打开。
2、打开「翻前弃牌手数」，检查是否为n。</t>
        </is>
      </c>
      <c r="N39" s="8" t="inlineStr">
        <is>
          <t>翻前弃牌手数=n</t>
        </is>
      </c>
      <c r="O39" s="8" t="inlineStr">
        <is>
          <t>session_summary.folded_preflop_hands</t>
        </is>
      </c>
      <c r="P39" s="10" t="inlineStr">
        <is>
          <t>未执行</t>
        </is>
      </c>
      <c r="Q39" s="10" t="inlineStr"/>
      <c r="R39" s="11" t="inlineStr"/>
    </row>
    <row r="40" ht="72" customHeight="1">
      <c r="A40" s="5" t="inlineStr">
        <is>
          <t>TC-RPT-036</t>
        </is>
      </c>
      <c r="B40" s="5" t="inlineStr">
        <is>
          <t>folded_preflop_hands</t>
        </is>
      </c>
      <c r="C40" s="5" t="inlineStr">
        <is>
          <t>翻前弃牌手数</t>
        </is>
      </c>
      <c r="D40" s="6" t="inlineStr">
        <is>
          <t>P0</t>
        </is>
      </c>
      <c r="E40" s="7" t="inlineStr">
        <is>
          <t>场景设计法</t>
        </is>
      </c>
      <c r="F40" s="7" t="inlineStr">
        <is>
          <t>Session基础</t>
        </is>
      </c>
      <c r="G40" s="7" t="inlineStr">
        <is>
          <t>是</t>
        </is>
      </c>
      <c r="H40" s="8" t="inlineStr">
        <is>
          <t>Hero 翻前未继续入池并弃牌的手牌数量</t>
        </is>
      </c>
      <c r="I40" s="8" t="inlineStr">
        <is>
          <t>Hero 翻前 fold 且未进入翻后的手牌数</t>
        </is>
      </c>
      <c r="J40" s="8" t="inlineStr">
        <is>
          <t>翻前弃牌手数正例-Hero前位翻前弃牌</t>
        </is>
      </c>
      <c r="K40" s="9" t="inlineStr">
        <is>
          <t>正例</t>
        </is>
      </c>
      <c r="L40" s="8" t="inlineStr">
        <is>
          <t>1、已登录，当前用户是 Hero。
2、素材含一手：Hero前位翻前弃牌，不发翻/转/河。加上这一手后翻前弃牌手数=n+1</t>
        </is>
      </c>
      <c r="M40" s="8" t="inlineStr">
        <is>
          <t>1、上传素材，生成复盘报告，等到能打开。
2、打开「翻前弃牌手数」，检查是否为n+1。</t>
        </is>
      </c>
      <c r="N40" s="8" t="inlineStr">
        <is>
          <t>翻前弃牌手数=n+1</t>
        </is>
      </c>
      <c r="O40" s="8" t="inlineStr">
        <is>
          <t>session_summary.folded_preflop_hands</t>
        </is>
      </c>
      <c r="P40" s="10" t="inlineStr">
        <is>
          <t>未执行</t>
        </is>
      </c>
      <c r="Q40" s="10" t="inlineStr"/>
      <c r="R40" s="11" t="inlineStr"/>
    </row>
    <row r="41" ht="72" customHeight="1">
      <c r="A41" s="5" t="inlineStr">
        <is>
          <t>TC-RPT-037</t>
        </is>
      </c>
      <c r="B41" s="5" t="inlineStr">
        <is>
          <t>folded_preflop_hands</t>
        </is>
      </c>
      <c r="C41" s="5" t="inlineStr">
        <is>
          <t>翻前弃牌手数</t>
        </is>
      </c>
      <c r="D41" s="6" t="inlineStr">
        <is>
          <t>P0</t>
        </is>
      </c>
      <c r="E41" s="7" t="inlineStr">
        <is>
          <t>场景设计法</t>
        </is>
      </c>
      <c r="F41" s="7" t="inlineStr">
        <is>
          <t>Session基础</t>
        </is>
      </c>
      <c r="G41" s="7" t="inlineStr">
        <is>
          <t>是</t>
        </is>
      </c>
      <c r="H41" s="8" t="inlineStr">
        <is>
          <t>Hero 翻前未继续入池并弃牌的手牌数量</t>
        </is>
      </c>
      <c r="I41" s="8" t="inlineStr">
        <is>
          <t>Hero 翻前 fold 且未进入翻后的手牌数</t>
        </is>
      </c>
      <c r="J41" s="8" t="inlineStr">
        <is>
          <t>翻前弃牌手数正例-Hero托管系统代翻前弃牌两款通用</t>
        </is>
      </c>
      <c r="K41" s="9" t="inlineStr">
        <is>
          <t>正例</t>
        </is>
      </c>
      <c r="L41" s="8" t="inlineStr">
        <is>
          <t>1、已登录，当前用户是 Hero。
2、素材含一手（ClubGG/WePoker通用）：Hero处于托管，前面有人加注，轮到Hero时系统代其翻前弃牌，不发翻/转/河。加上这一手后翻前弃牌手数=n+1</t>
        </is>
      </c>
      <c r="M41" s="8" t="inlineStr">
        <is>
          <t>1、上传素材，生成复盘报告，等到能打开。
2、打开「翻前弃牌手数」，检查是否为n+1。</t>
        </is>
      </c>
      <c r="N41" s="8" t="inlineStr">
        <is>
          <t>翻前弃牌手数=n+1</t>
        </is>
      </c>
      <c r="O41" s="8" t="inlineStr">
        <is>
          <t>session_summary.folded_preflop_hands</t>
        </is>
      </c>
      <c r="P41" s="10" t="inlineStr">
        <is>
          <t>未执行</t>
        </is>
      </c>
      <c r="Q41" s="10" t="inlineStr"/>
      <c r="R41" s="11" t="inlineStr"/>
    </row>
    <row r="42" ht="72" customHeight="1">
      <c r="A42" s="5" t="inlineStr">
        <is>
          <t>TC-RPT-038</t>
        </is>
      </c>
      <c r="B42" s="5" t="inlineStr">
        <is>
          <t>folded_preflop_hands</t>
        </is>
      </c>
      <c r="C42" s="5" t="inlineStr">
        <is>
          <t>翻前弃牌手数</t>
        </is>
      </c>
      <c r="D42" s="6" t="inlineStr">
        <is>
          <t>P0</t>
        </is>
      </c>
      <c r="E42" s="7" t="inlineStr">
        <is>
          <t>场景设计法</t>
        </is>
      </c>
      <c r="F42" s="7" t="inlineStr">
        <is>
          <t>Session基础</t>
        </is>
      </c>
      <c r="G42" s="7" t="inlineStr">
        <is>
          <t>是</t>
        </is>
      </c>
      <c r="H42" s="8" t="inlineStr">
        <is>
          <t>Hero 翻前未继续入池并弃牌的手牌数量</t>
        </is>
      </c>
      <c r="I42" s="8" t="inlineStr">
        <is>
          <t>Hero 翻前 fold 且未进入翻后的手牌数</t>
        </is>
      </c>
      <c r="J42" s="8" t="inlineStr">
        <is>
          <t>翻前弃牌手数正例-WePoker托管大盲小盲平跟系统代弃牌</t>
        </is>
      </c>
      <c r="K42" s="9" t="inlineStr">
        <is>
          <t>正例</t>
        </is>
      </c>
      <c r="L42" s="8" t="inlineStr">
        <is>
          <t>1、已登录，当前用户是 Hero。
2、素材含一手（WePoker）：Hero处于托管，坐大盲，小盲已平跟且无人再加，轮到Hero时系统代其翻前弃牌（非过牌），不发翻/转/河。加上这一手后翻前弃牌手数=n+1</t>
        </is>
      </c>
      <c r="M42" s="8" t="inlineStr">
        <is>
          <t>1、上传素材，生成复盘报告，等到能打开。
2、打开「翻前弃牌手数」，检查是否为n+1。</t>
        </is>
      </c>
      <c r="N42" s="8" t="inlineStr">
        <is>
          <t>翻前弃牌手数=n+1</t>
        </is>
      </c>
      <c r="O42" s="8" t="inlineStr">
        <is>
          <t>session_summary.folded_preflop_hands</t>
        </is>
      </c>
      <c r="P42" s="10" t="inlineStr">
        <is>
          <t>未执行</t>
        </is>
      </c>
      <c r="Q42" s="10" t="inlineStr"/>
      <c r="R42" s="11" t="inlineStr"/>
    </row>
    <row r="43" ht="72" customHeight="1">
      <c r="A43" s="5" t="inlineStr">
        <is>
          <t>TC-RPT-039</t>
        </is>
      </c>
      <c r="B43" s="5" t="inlineStr">
        <is>
          <t>folded_preflop_hands</t>
        </is>
      </c>
      <c r="C43" s="5" t="inlineStr">
        <is>
          <t>翻前弃牌手数</t>
        </is>
      </c>
      <c r="D43" s="6" t="inlineStr">
        <is>
          <t>P0</t>
        </is>
      </c>
      <c r="E43" s="7" t="inlineStr">
        <is>
          <t>场景设计法</t>
        </is>
      </c>
      <c r="F43" s="7" t="inlineStr">
        <is>
          <t>Session基础</t>
        </is>
      </c>
      <c r="G43" s="7" t="inlineStr">
        <is>
          <t>是</t>
        </is>
      </c>
      <c r="H43" s="8" t="inlineStr">
        <is>
          <t>Hero 翻前未继续入池并弃牌的手牌数量</t>
        </is>
      </c>
      <c r="I43" s="8" t="inlineStr">
        <is>
          <t>Hero 翻前 fold 且未进入翻后的手牌数</t>
        </is>
      </c>
      <c r="J43" s="8" t="inlineStr">
        <is>
          <t>翻前弃牌手数反例-翻前全下有人跟仍发公牌</t>
        </is>
      </c>
      <c r="K43" s="12" t="inlineStr">
        <is>
          <t>反例</t>
        </is>
      </c>
      <c r="L43" s="8" t="inlineStr">
        <is>
          <t>1、已登录，当前用户是 Hero。
2、素材含一手：Hero翻前全下，至少一人跟注，随后发出翻/转/河。翻前没有弃牌。该手不含，翻前弃牌手数仍=n</t>
        </is>
      </c>
      <c r="M43" s="8" t="inlineStr">
        <is>
          <t>1、上传素材，生成复盘报告，等到能打开。
2、打开「翻前弃牌手数」，检查是否为n。</t>
        </is>
      </c>
      <c r="N43" s="8" t="inlineStr">
        <is>
          <t>翻前弃牌手数=n</t>
        </is>
      </c>
      <c r="O43" s="8" t="inlineStr">
        <is>
          <t>session_summary.folded_preflop_hands</t>
        </is>
      </c>
      <c r="P43" s="10" t="inlineStr">
        <is>
          <t>未执行</t>
        </is>
      </c>
      <c r="Q43" s="10" t="inlineStr"/>
      <c r="R43" s="11" t="inlineStr"/>
    </row>
    <row r="44" ht="72" customHeight="1">
      <c r="A44" s="5" t="inlineStr">
        <is>
          <t>TC-RPT-040</t>
        </is>
      </c>
      <c r="B44" s="5" t="inlineStr">
        <is>
          <t>folded_preflop_hands</t>
        </is>
      </c>
      <c r="C44" s="5" t="inlineStr">
        <is>
          <t>翻前弃牌手数</t>
        </is>
      </c>
      <c r="D44" s="6" t="inlineStr">
        <is>
          <t>P0</t>
        </is>
      </c>
      <c r="E44" s="7" t="inlineStr">
        <is>
          <t>场景设计法</t>
        </is>
      </c>
      <c r="F44" s="7" t="inlineStr">
        <is>
          <t>Session基础</t>
        </is>
      </c>
      <c r="G44" s="7" t="inlineStr">
        <is>
          <t>是</t>
        </is>
      </c>
      <c r="H44" s="8" t="inlineStr">
        <is>
          <t>Hero 翻前未继续入池并弃牌的手牌数量</t>
        </is>
      </c>
      <c r="I44" s="8" t="inlineStr">
        <is>
          <t>Hero 翻前 fold 且未进入翻后的手牌数</t>
        </is>
      </c>
      <c r="J44" s="8" t="inlineStr">
        <is>
          <t>翻前弃牌手数反例-翻前全下无人跟收池</t>
        </is>
      </c>
      <c r="K44" s="12" t="inlineStr">
        <is>
          <t>反例</t>
        </is>
      </c>
      <c r="L44" s="8" t="inlineStr">
        <is>
          <t>1、已登录，当前用户是 Hero。
2、素材含一手：Hero翻前全下，其余人全弃；不发翻/转/河，翻前直接收池。用户没有fold。该手不含，翻前弃牌手数仍=n</t>
        </is>
      </c>
      <c r="M44" s="8" t="inlineStr">
        <is>
          <t>1、上传素材，生成复盘报告，等到能打开。
2、打开「翻前弃牌手数」，检查是否为n。</t>
        </is>
      </c>
      <c r="N44" s="8" t="inlineStr">
        <is>
          <t>翻前弃牌手数=n</t>
        </is>
      </c>
      <c r="O44" s="8" t="inlineStr">
        <is>
          <t>session_summary.folded_preflop_hands</t>
        </is>
      </c>
      <c r="P44" s="10" t="inlineStr">
        <is>
          <t>未执行</t>
        </is>
      </c>
      <c r="Q44" s="10" t="inlineStr"/>
      <c r="R44" s="11" t="inlineStr"/>
    </row>
    <row r="45" ht="72" customHeight="1">
      <c r="A45" s="5" t="inlineStr">
        <is>
          <t>TC-RPT-041</t>
        </is>
      </c>
      <c r="B45" s="5" t="inlineStr">
        <is>
          <t>folded_preflop_hands</t>
        </is>
      </c>
      <c r="C45" s="5" t="inlineStr">
        <is>
          <t>翻前弃牌手数</t>
        </is>
      </c>
      <c r="D45" s="6" t="inlineStr">
        <is>
          <t>P0</t>
        </is>
      </c>
      <c r="E45" s="7" t="inlineStr">
        <is>
          <t>场景设计法</t>
        </is>
      </c>
      <c r="F45" s="7" t="inlineStr">
        <is>
          <t>Session基础</t>
        </is>
      </c>
      <c r="G45" s="7" t="inlineStr">
        <is>
          <t>是</t>
        </is>
      </c>
      <c r="H45" s="8" t="inlineStr">
        <is>
          <t>Hero 翻前未继续入池并弃牌的手牌数量</t>
        </is>
      </c>
      <c r="I45" s="8" t="inlineStr">
        <is>
          <t>Hero 翻前 fold 且未进入翻后的手牌数</t>
        </is>
      </c>
      <c r="J45" s="8" t="inlineStr">
        <is>
          <t>翻前弃牌手数反例-翻前跟注或加注翻牌后才弃牌</t>
        </is>
      </c>
      <c r="K45" s="12" t="inlineStr">
        <is>
          <t>反例</t>
        </is>
      </c>
      <c r="L45" s="8" t="inlineStr">
        <is>
          <t>1、已登录，当前用户是 Hero。
2、素材含一手：只在翻前跟注或加注，发出翻牌后才弃牌。该手不含，翻前弃牌手数仍=n</t>
        </is>
      </c>
      <c r="M45" s="8" t="inlineStr">
        <is>
          <t>1、上传素材，生成复盘报告，等到能打开。
2、打开「翻前弃牌手数」，检查是否为n。</t>
        </is>
      </c>
      <c r="N45" s="8" t="inlineStr">
        <is>
          <t>翻前弃牌手数=n</t>
        </is>
      </c>
      <c r="O45" s="8" t="inlineStr">
        <is>
          <t>session_summary.folded_preflop_hands</t>
        </is>
      </c>
      <c r="P45" s="10" t="inlineStr">
        <is>
          <t>未执行</t>
        </is>
      </c>
      <c r="Q45" s="10" t="inlineStr"/>
      <c r="R45" s="11" t="inlineStr"/>
    </row>
    <row r="46" ht="72" customHeight="1">
      <c r="A46" s="5" t="inlineStr">
        <is>
          <t>TC-RPT-042</t>
        </is>
      </c>
      <c r="B46" s="5" t="inlineStr">
        <is>
          <t>folded_preflop_hands</t>
        </is>
      </c>
      <c r="C46" s="5" t="inlineStr">
        <is>
          <t>翻前弃牌手数</t>
        </is>
      </c>
      <c r="D46" s="6" t="inlineStr">
        <is>
          <t>P0</t>
        </is>
      </c>
      <c r="E46" s="7" t="inlineStr">
        <is>
          <t>场景设计法</t>
        </is>
      </c>
      <c r="F46" s="7" t="inlineStr">
        <is>
          <t>Session基础</t>
        </is>
      </c>
      <c r="G46" s="7" t="inlineStr">
        <is>
          <t>是</t>
        </is>
      </c>
      <c r="H46" s="8" t="inlineStr">
        <is>
          <t>Hero 翻前未继续入池并弃牌的手牌数量</t>
        </is>
      </c>
      <c r="I46" s="8" t="inlineStr">
        <is>
          <t>Hero 翻前 fold 且未进入翻后的手牌数</t>
        </is>
      </c>
      <c r="J46" s="8" t="inlineStr">
        <is>
          <t>翻前弃牌手数反例-大盲无人加注过牌看翻牌</t>
        </is>
      </c>
      <c r="K46" s="12" t="inlineStr">
        <is>
          <t>反例</t>
        </is>
      </c>
      <c r="L46" s="8" t="inlineStr">
        <is>
          <t>1、已登录，当前用户是 Hero。
2、素材含一手：Hero坐大盲，前面没人加注，用户过牌，发出翻牌。翻前没有弃牌。该手不含，翻前弃牌手数仍=n</t>
        </is>
      </c>
      <c r="M46" s="8" t="inlineStr">
        <is>
          <t>1、上传素材，生成复盘报告，等到能打开。
2、打开「翻前弃牌手数」，检查是否为n。</t>
        </is>
      </c>
      <c r="N46" s="8" t="inlineStr">
        <is>
          <t>翻前弃牌手数=n</t>
        </is>
      </c>
      <c r="O46" s="8" t="inlineStr">
        <is>
          <t>session_summary.folded_preflop_hands</t>
        </is>
      </c>
      <c r="P46" s="10" t="inlineStr">
        <is>
          <t>未执行</t>
        </is>
      </c>
      <c r="Q46" s="10" t="inlineStr"/>
      <c r="R46" s="11" t="inlineStr"/>
    </row>
    <row r="47" ht="72" customHeight="1">
      <c r="A47" s="5" t="inlineStr">
        <is>
          <t>TC-RPT-043</t>
        </is>
      </c>
      <c r="B47" s="5" t="inlineStr">
        <is>
          <t>folded_preflop_hands</t>
        </is>
      </c>
      <c r="C47" s="5" t="inlineStr">
        <is>
          <t>翻前弃牌手数</t>
        </is>
      </c>
      <c r="D47" s="6" t="inlineStr">
        <is>
          <t>P0</t>
        </is>
      </c>
      <c r="E47" s="7" t="inlineStr">
        <is>
          <t>场景设计法</t>
        </is>
      </c>
      <c r="F47" s="7" t="inlineStr">
        <is>
          <t>Session基础</t>
        </is>
      </c>
      <c r="G47" s="7" t="inlineStr">
        <is>
          <t>是</t>
        </is>
      </c>
      <c r="H47" s="8" t="inlineStr">
        <is>
          <t>Hero 翻前未继续入池并弃牌的手牌数量</t>
        </is>
      </c>
      <c r="I47" s="8" t="inlineStr">
        <is>
          <t>Hero 翻前 fold 且未进入翻后的手牌数</t>
        </is>
      </c>
      <c r="J47" s="8" t="inlineStr">
        <is>
          <t>翻前弃牌手数正例-翻前多轮行动后最终弃牌</t>
        </is>
      </c>
      <c r="K47" s="9" t="inlineStr">
        <is>
          <t>正例</t>
        </is>
      </c>
      <c r="L47" s="8" t="inlineStr">
        <is>
          <t>1、已登录，当前用户是 Hero。
2、素材含一手：翻前多轮行动后Hero最终翻前弃牌，不发翻/转/河。翻前弃牌手数=n+1</t>
        </is>
      </c>
      <c r="M47" s="8" t="inlineStr">
        <is>
          <t>1、上传素材，生成复盘报告，等到能打开。
2、打开「翻前弃牌手数」，检查是否为n+1。</t>
        </is>
      </c>
      <c r="N47" s="8" t="inlineStr">
        <is>
          <t>翻前弃牌手数=n+1</t>
        </is>
      </c>
      <c r="O47" s="8" t="inlineStr">
        <is>
          <t>session_summary.folded_preflop_hands</t>
        </is>
      </c>
      <c r="P47" s="10" t="inlineStr">
        <is>
          <t>未执行</t>
        </is>
      </c>
      <c r="Q47" s="10" t="inlineStr"/>
      <c r="R47" s="11" t="inlineStr"/>
    </row>
    <row r="48" ht="72" customHeight="1">
      <c r="A48" s="5" t="inlineStr">
        <is>
          <t>TC-RPT-044</t>
        </is>
      </c>
      <c r="B48" s="5" t="inlineStr">
        <is>
          <t>folded_preflop_hands</t>
        </is>
      </c>
      <c r="C48" s="5" t="inlineStr">
        <is>
          <t>翻前弃牌手数</t>
        </is>
      </c>
      <c r="D48" s="6" t="inlineStr">
        <is>
          <t>P0</t>
        </is>
      </c>
      <c r="E48" s="7" t="inlineStr">
        <is>
          <t>场景设计法</t>
        </is>
      </c>
      <c r="F48" s="7" t="inlineStr">
        <is>
          <t>Session基础</t>
        </is>
      </c>
      <c r="G48" s="7" t="inlineStr">
        <is>
          <t>是</t>
        </is>
      </c>
      <c r="H48" s="8" t="inlineStr">
        <is>
          <t>Hero 翻前未继续入池并弃牌的手牌数量</t>
        </is>
      </c>
      <c r="I48" s="8" t="inlineStr">
        <is>
          <t>Hero 翻前 fold 且未进入翻后的手牌数</t>
        </is>
      </c>
      <c r="J48" s="8" t="inlineStr">
        <is>
          <t>翻前弃牌手数反例-个别帧误识弃牌不算</t>
        </is>
      </c>
      <c r="K48" s="12" t="inlineStr">
        <is>
          <t>反例</t>
        </is>
      </c>
      <c r="L48" s="8" t="inlineStr">
        <is>
          <t>1、已登录，当前用户是 Hero。
2、翻前一两帧误识为fold，后续帧正常且Hero未真弃。翻前弃牌手数仍=n</t>
        </is>
      </c>
      <c r="M48" s="8" t="inlineStr">
        <is>
          <t>1、上传素材，生成复盘报告，等到能打开。
2、打开「翻前弃牌手数」，检查是否为n。</t>
        </is>
      </c>
      <c r="N48" s="8" t="inlineStr">
        <is>
          <t>翻前弃牌手数=n</t>
        </is>
      </c>
      <c r="O48" s="8" t="inlineStr">
        <is>
          <t>session_summary.folded_preflop_hands</t>
        </is>
      </c>
      <c r="P48" s="10" t="inlineStr">
        <is>
          <t>未执行</t>
        </is>
      </c>
      <c r="Q48" s="10" t="inlineStr"/>
      <c r="R48" s="11" t="inlineStr"/>
    </row>
    <row r="49" ht="72" customHeight="1">
      <c r="A49" s="5" t="inlineStr">
        <is>
          <t>TC-RPT-045</t>
        </is>
      </c>
      <c r="B49" s="5" t="inlineStr">
        <is>
          <t>folded_preflop_hands</t>
        </is>
      </c>
      <c r="C49" s="5" t="inlineStr">
        <is>
          <t>翻前弃牌手数</t>
        </is>
      </c>
      <c r="D49" s="6" t="inlineStr">
        <is>
          <t>P0</t>
        </is>
      </c>
      <c r="E49" s="7" t="inlineStr">
        <is>
          <t>场景设计法</t>
        </is>
      </c>
      <c r="F49" s="7" t="inlineStr">
        <is>
          <t>Session基础</t>
        </is>
      </c>
      <c r="G49" s="7" t="inlineStr">
        <is>
          <t>是</t>
        </is>
      </c>
      <c r="H49" s="8" t="inlineStr">
        <is>
          <t>Hero 翻前未继续入池并弃牌的手牌数量</t>
        </is>
      </c>
      <c r="I49" s="8" t="inlineStr">
        <is>
          <t>Hero 翻前 fold 且未进入翻后的手牌数</t>
        </is>
      </c>
      <c r="J49" s="8" t="inlineStr">
        <is>
          <t>翻前弃牌手数反例-弃牌头像误识不算</t>
        </is>
      </c>
      <c r="K49" s="12" t="inlineStr">
        <is>
          <t>反例</t>
        </is>
      </c>
      <c r="L49" s="8" t="inlineStr">
        <is>
          <t>1、已登录，当前用户是 Hero。
2、Hero头像为弃牌态画面，HOLD被误识为FOLD，实际未弃。翻前弃牌手数仍=n</t>
        </is>
      </c>
      <c r="M49" s="8" t="inlineStr">
        <is>
          <t>1、上传素材，生成复盘报告，等到能打开。
2、打开「翻前弃牌手数」，检查是否为n。</t>
        </is>
      </c>
      <c r="N49" s="8" t="inlineStr">
        <is>
          <t>翻前弃牌手数=n</t>
        </is>
      </c>
      <c r="O49" s="8" t="inlineStr">
        <is>
          <t>session_summary.folded_preflop_hands</t>
        </is>
      </c>
      <c r="P49" s="10" t="inlineStr">
        <is>
          <t>未执行</t>
        </is>
      </c>
      <c r="Q49" s="10" t="inlineStr"/>
      <c r="R49" s="11" t="inlineStr"/>
    </row>
    <row r="50" ht="72" customHeight="1">
      <c r="A50" s="5" t="inlineStr">
        <is>
          <t>TC-RPT-046</t>
        </is>
      </c>
      <c r="B50" s="5" t="inlineStr">
        <is>
          <t>postflop_hands</t>
        </is>
      </c>
      <c r="C50" s="5" t="inlineStr">
        <is>
          <t>进入翻后手数</t>
        </is>
      </c>
      <c r="D50" s="6" t="inlineStr">
        <is>
          <t>P0</t>
        </is>
      </c>
      <c r="E50" s="7" t="inlineStr">
        <is>
          <t>等价类划分法</t>
        </is>
      </c>
      <c r="F50" s="7" t="inlineStr">
        <is>
          <t>Session基础</t>
        </is>
      </c>
      <c r="G50" s="7" t="inlineStr">
        <is>
          <t>是</t>
        </is>
      </c>
      <c r="H50" s="8" t="inlineStr">
        <is>
          <t>Hero 看到翻牌或翻后仍有行动记录的手牌数量</t>
        </is>
      </c>
      <c r="I50" s="8" t="inlineStr">
        <is>
          <t>存在 flop 牌面或 Hero 翻后行动记录即计入</t>
        </is>
      </c>
      <c r="J50" s="8" t="inlineStr">
        <is>
          <t>进入翻后手数正例-发出翻牌或翻后有行动</t>
        </is>
      </c>
      <c r="K50" s="9" t="inlineStr">
        <is>
          <t>正例</t>
        </is>
      </c>
      <c r="L50" s="8" t="inlineStr">
        <is>
          <t>1、已登录，当前用户是 Hero。只用正例场。
2、素材里「进入翻后手数」应对的值=n</t>
        </is>
      </c>
      <c r="M50" s="8" t="inlineStr">
        <is>
          <t>1、上传素材，生成复盘报告，等到能打开。
2、打开「进入翻后手数」，检查是否为n。</t>
        </is>
      </c>
      <c r="N50" s="8" t="inlineStr">
        <is>
          <t>进入翻后手数=n</t>
        </is>
      </c>
      <c r="O50" s="8" t="inlineStr">
        <is>
          <t>session_summary.postflop_hands</t>
        </is>
      </c>
      <c r="P50" s="10" t="inlineStr">
        <is>
          <t>未执行</t>
        </is>
      </c>
      <c r="Q50" s="10" t="inlineStr"/>
      <c r="R50" s="11" t="inlineStr"/>
    </row>
    <row r="51" ht="72" customHeight="1">
      <c r="A51" s="5" t="inlineStr">
        <is>
          <t>TC-RPT-047</t>
        </is>
      </c>
      <c r="B51" s="5" t="inlineStr">
        <is>
          <t>postflop_hands</t>
        </is>
      </c>
      <c r="C51" s="5" t="inlineStr">
        <is>
          <t>进入翻后手数</t>
        </is>
      </c>
      <c r="D51" s="6" t="inlineStr">
        <is>
          <t>P0</t>
        </is>
      </c>
      <c r="E51" s="7" t="inlineStr">
        <is>
          <t>等价类划分法</t>
        </is>
      </c>
      <c r="F51" s="7" t="inlineStr">
        <is>
          <t>Session基础</t>
        </is>
      </c>
      <c r="G51" s="7" t="inlineStr">
        <is>
          <t>是</t>
        </is>
      </c>
      <c r="H51" s="8" t="inlineStr">
        <is>
          <t>Hero 看到翻牌或翻后仍有行动记录的手牌数量</t>
        </is>
      </c>
      <c r="I51" s="8" t="inlineStr">
        <is>
          <t>存在 flop 牌面或 Hero 翻后行动记录即计入</t>
        </is>
      </c>
      <c r="J51" s="8" t="inlineStr">
        <is>
          <t>进入翻后手数反例-翻前结束未发翻牌</t>
        </is>
      </c>
      <c r="K51" s="12" t="inlineStr">
        <is>
          <t>反例</t>
        </is>
      </c>
      <c r="L51" s="8" t="inlineStr">
        <is>
          <t>1、已登录，当前用户是 Hero。准备下列不该计入的素材。
2、Hero翻前弃牌，不发翻牌。进入翻后手数不含，「进入翻后手数」仍=n</t>
        </is>
      </c>
      <c r="M51" s="8" t="inlineStr">
        <is>
          <t>1、上传素材，生成复盘报告，等到能打开。
2、打开「进入翻后手数」，检查是否为n。</t>
        </is>
      </c>
      <c r="N51" s="8" t="inlineStr">
        <is>
          <t>进入翻后手数=n</t>
        </is>
      </c>
      <c r="O51" s="8" t="inlineStr">
        <is>
          <t>session_summary.postflop_hands</t>
        </is>
      </c>
      <c r="P51" s="10" t="inlineStr">
        <is>
          <t>未执行</t>
        </is>
      </c>
      <c r="Q51" s="10" t="inlineStr"/>
      <c r="R51" s="11" t="inlineStr"/>
    </row>
    <row r="52" ht="72" customHeight="1">
      <c r="A52" s="5" t="inlineStr">
        <is>
          <t>TC-RPT-048</t>
        </is>
      </c>
      <c r="B52" s="5" t="inlineStr">
        <is>
          <t>postflop_hands</t>
        </is>
      </c>
      <c r="C52" s="5" t="inlineStr">
        <is>
          <t>进入翻后手数</t>
        </is>
      </c>
      <c r="D52" s="6" t="inlineStr">
        <is>
          <t>P0</t>
        </is>
      </c>
      <c r="E52" s="7" t="inlineStr">
        <is>
          <t>场景设计法</t>
        </is>
      </c>
      <c r="F52" s="7" t="inlineStr">
        <is>
          <t>Session基础</t>
        </is>
      </c>
      <c r="G52" s="7" t="inlineStr">
        <is>
          <t>是</t>
        </is>
      </c>
      <c r="H52" s="8" t="inlineStr">
        <is>
          <t>Hero 看到翻牌或翻后仍有行动记录的手牌数量</t>
        </is>
      </c>
      <c r="I52" s="8" t="inlineStr">
        <is>
          <t>存在 flop 牌面或 Hero 翻后行动记录即计入</t>
        </is>
      </c>
      <c r="J52" s="8" t="inlineStr">
        <is>
          <t>进入翻后手数正例-翻前全下有人跟仍发翻牌</t>
        </is>
      </c>
      <c r="K52" s="9" t="inlineStr">
        <is>
          <t>正例</t>
        </is>
      </c>
      <c r="L52" s="8" t="inlineStr">
        <is>
          <t>1、已登录，当前用户是 Hero。
2、素材含一手：Hero翻前全下，至少一人跟注，随后发出翻牌。加上这一手后进入翻后手数=n+1</t>
        </is>
      </c>
      <c r="M52" s="8" t="inlineStr">
        <is>
          <t>1、上传素材，生成复盘报告，等到能打开。
2、打开「进入翻后手数」，检查是否为n+1。</t>
        </is>
      </c>
      <c r="N52" s="8" t="inlineStr">
        <is>
          <t>进入翻后手数=n+1</t>
        </is>
      </c>
      <c r="O52" s="8" t="inlineStr">
        <is>
          <t>session_summary.postflop_hands</t>
        </is>
      </c>
      <c r="P52" s="10" t="inlineStr">
        <is>
          <t>未执行</t>
        </is>
      </c>
      <c r="Q52" s="10" t="inlineStr"/>
      <c r="R52" s="11" t="inlineStr"/>
    </row>
    <row r="53" ht="72" customHeight="1">
      <c r="A53" s="5" t="inlineStr">
        <is>
          <t>TC-RPT-049</t>
        </is>
      </c>
      <c r="B53" s="5" t="inlineStr">
        <is>
          <t>postflop_hands</t>
        </is>
      </c>
      <c r="C53" s="5" t="inlineStr">
        <is>
          <t>进入翻后手数</t>
        </is>
      </c>
      <c r="D53" s="6" t="inlineStr">
        <is>
          <t>P0</t>
        </is>
      </c>
      <c r="E53" s="7" t="inlineStr">
        <is>
          <t>场景设计法</t>
        </is>
      </c>
      <c r="F53" s="7" t="inlineStr">
        <is>
          <t>Session基础</t>
        </is>
      </c>
      <c r="G53" s="7" t="inlineStr">
        <is>
          <t>是</t>
        </is>
      </c>
      <c r="H53" s="8" t="inlineStr">
        <is>
          <t>Hero 看到翻牌或翻后仍有行动记录的手牌数量</t>
        </is>
      </c>
      <c r="I53" s="8" t="inlineStr">
        <is>
          <t>存在 flop 牌面或 Hero 翻后行动记录即计入</t>
        </is>
      </c>
      <c r="J53" s="8" t="inlineStr">
        <is>
          <t>进入翻后手数反例-翻前弃牌未发翻牌</t>
        </is>
      </c>
      <c r="K53" s="12" t="inlineStr">
        <is>
          <t>反例</t>
        </is>
      </c>
      <c r="L53" s="8" t="inlineStr">
        <is>
          <t>1、已登录，当前用户是 Hero。
2、素材含一手：Hero翻前弃牌，不发翻/转/河。该手不含，进入翻后手数仍=n</t>
        </is>
      </c>
      <c r="M53" s="8" t="inlineStr">
        <is>
          <t>1、上传素材，生成复盘报告，等到能打开。
2、打开「进入翻后手数」，检查是否为n。</t>
        </is>
      </c>
      <c r="N53" s="8" t="inlineStr">
        <is>
          <t>进入翻后手数=n</t>
        </is>
      </c>
      <c r="O53" s="8" t="inlineStr">
        <is>
          <t>session_summary.postflop_hands</t>
        </is>
      </c>
      <c r="P53" s="10" t="inlineStr">
        <is>
          <t>未执行</t>
        </is>
      </c>
      <c r="Q53" s="10" t="inlineStr"/>
      <c r="R53" s="11" t="inlineStr"/>
    </row>
    <row r="54" ht="72" customHeight="1">
      <c r="A54" s="5" t="inlineStr">
        <is>
          <t>TC-RPT-050</t>
        </is>
      </c>
      <c r="B54" s="5" t="inlineStr">
        <is>
          <t>postflop_hands</t>
        </is>
      </c>
      <c r="C54" s="5" t="inlineStr">
        <is>
          <t>进入翻后手数</t>
        </is>
      </c>
      <c r="D54" s="6" t="inlineStr">
        <is>
          <t>P0</t>
        </is>
      </c>
      <c r="E54" s="7" t="inlineStr">
        <is>
          <t>场景设计法</t>
        </is>
      </c>
      <c r="F54" s="7" t="inlineStr">
        <is>
          <t>Session基础</t>
        </is>
      </c>
      <c r="G54" s="7" t="inlineStr">
        <is>
          <t>是</t>
        </is>
      </c>
      <c r="H54" s="8" t="inlineStr">
        <is>
          <t>Hero 看到翻牌或翻后仍有行动记录的手牌数量</t>
        </is>
      </c>
      <c r="I54" s="8" t="inlineStr">
        <is>
          <t>存在 flop 牌面或 Hero 翻后行动记录即计入</t>
        </is>
      </c>
      <c r="J54" s="8" t="inlineStr">
        <is>
          <t>进入翻后手数反例-翻前全下无人跟不发翻牌</t>
        </is>
      </c>
      <c r="K54" s="12" t="inlineStr">
        <is>
          <t>反例</t>
        </is>
      </c>
      <c r="L54" s="8" t="inlineStr">
        <is>
          <t>1、已登录，当前用户是 Hero。
2、素材含一手：Hero翻前全下，其余人全弃；不发翻/转/河，翻前直接收池。该手不含，进入翻后手数仍=n</t>
        </is>
      </c>
      <c r="M54" s="8" t="inlineStr">
        <is>
          <t>1、上传素材，生成复盘报告，等到能打开。
2、打开「进入翻后手数」，检查是否为n。</t>
        </is>
      </c>
      <c r="N54" s="8" t="inlineStr">
        <is>
          <t>进入翻后手数=n</t>
        </is>
      </c>
      <c r="O54" s="8" t="inlineStr">
        <is>
          <t>session_summary.postflop_hands</t>
        </is>
      </c>
      <c r="P54" s="10" t="inlineStr">
        <is>
          <t>未执行</t>
        </is>
      </c>
      <c r="Q54" s="10" t="inlineStr"/>
      <c r="R54" s="11" t="inlineStr"/>
    </row>
    <row r="55" ht="72" customHeight="1">
      <c r="A55" s="5" t="inlineStr">
        <is>
          <t>TC-RPT-051</t>
        </is>
      </c>
      <c r="B55" s="5" t="inlineStr">
        <is>
          <t>postflop_hands</t>
        </is>
      </c>
      <c r="C55" s="5" t="inlineStr">
        <is>
          <t>进入翻后手数</t>
        </is>
      </c>
      <c r="D55" s="6" t="inlineStr">
        <is>
          <t>P0</t>
        </is>
      </c>
      <c r="E55" s="7" t="inlineStr">
        <is>
          <t>场景设计法</t>
        </is>
      </c>
      <c r="F55" s="7" t="inlineStr">
        <is>
          <t>Session基础</t>
        </is>
      </c>
      <c r="G55" s="7" t="inlineStr">
        <is>
          <t>是</t>
        </is>
      </c>
      <c r="H55" s="8" t="inlineStr">
        <is>
          <t>Hero 看到翻牌或翻后仍有行动记录的手牌数量</t>
        </is>
      </c>
      <c r="I55" s="8" t="inlineStr">
        <is>
          <t>存在 flop 牌面或 Hero 翻后行动记录即计入</t>
        </is>
      </c>
      <c r="J55" s="8" t="inlineStr">
        <is>
          <t>进入翻后手数正例-误识弃牌序列但实则进翻后</t>
        </is>
      </c>
      <c r="K55" s="9" t="inlineStr">
        <is>
          <t>正例</t>
        </is>
      </c>
      <c r="L55" s="8" t="inlineStr">
        <is>
          <t>1、已登录，当前用户是 Hero。
2、翻前存在错误弃牌帧但公牌已发出且Hero翻后有行动。进入翻后手数=n+1</t>
        </is>
      </c>
      <c r="M55" s="8" t="inlineStr">
        <is>
          <t>1、上传素材，生成复盘报告，等到能打开。
2、打开「进入翻后手数」，检查是否为n+1。</t>
        </is>
      </c>
      <c r="N55" s="8" t="inlineStr">
        <is>
          <t>进入翻后手数=n+1</t>
        </is>
      </c>
      <c r="O55" s="8" t="inlineStr">
        <is>
          <t>session_summary.postflop_hands</t>
        </is>
      </c>
      <c r="P55" s="10" t="inlineStr">
        <is>
          <t>未执行</t>
        </is>
      </c>
      <c r="Q55" s="10" t="inlineStr"/>
      <c r="R55" s="11" t="inlineStr"/>
    </row>
    <row r="56" ht="72" customHeight="1">
      <c r="A56" s="5" t="inlineStr">
        <is>
          <t>TC-RPT-052</t>
        </is>
      </c>
      <c r="B56" s="5" t="inlineStr">
        <is>
          <t>showdown_hands</t>
        </is>
      </c>
      <c r="C56" s="5" t="inlineStr">
        <is>
          <t>摊牌手数</t>
        </is>
      </c>
      <c r="D56" s="6" t="inlineStr">
        <is>
          <t>P0</t>
        </is>
      </c>
      <c r="E56" s="7" t="inlineStr">
        <is>
          <t>场景设计法</t>
        </is>
      </c>
      <c r="F56" s="7" t="inlineStr">
        <is>
          <t>Session基础</t>
        </is>
      </c>
      <c r="G56" s="7" t="inlineStr">
        <is>
          <t>是</t>
        </is>
      </c>
      <c r="H56" s="8" t="inlineStr">
        <is>
          <t>存在摊牌结果或亮牌信息的手牌数量</t>
        </is>
      </c>
      <c r="I56" s="8" t="inlineStr">
        <is>
          <t>存在 showdown_result、亮牌信息或 showdown 标记即计入</t>
        </is>
      </c>
      <c r="J56" s="8" t="inlineStr">
        <is>
          <t>摊牌手数正例-翻前全下有人跟翻前亮牌再发翻转河</t>
        </is>
      </c>
      <c r="K56" s="9" t="inlineStr">
        <is>
          <t>正例</t>
        </is>
      </c>
      <c r="L56" s="8" t="inlineStr">
        <is>
          <t>1、已登录，当前用户是 Hero。
2、素材含一手：Hero翻前全下，至少一人跟注；双方在翻前亮手牌，随后发出翻牌、转牌、河牌。加上这一手后摊牌手数=n+1</t>
        </is>
      </c>
      <c r="M56" s="8" t="inlineStr">
        <is>
          <t>1、上传素材，生成复盘报告，等到能打开。
2、打开「摊牌手数」，检查是否为n+1。</t>
        </is>
      </c>
      <c r="N56" s="8" t="inlineStr">
        <is>
          <t>摊牌手数=n+1</t>
        </is>
      </c>
      <c r="O56" s="8" t="inlineStr">
        <is>
          <t>session_summary.showdown_hands</t>
        </is>
      </c>
      <c r="P56" s="10" t="inlineStr">
        <is>
          <t>未执行</t>
        </is>
      </c>
      <c r="Q56" s="10" t="inlineStr"/>
      <c r="R56" s="11" t="inlineStr"/>
    </row>
    <row r="57" ht="72" customHeight="1">
      <c r="A57" s="5" t="inlineStr">
        <is>
          <t>TC-RPT-053</t>
        </is>
      </c>
      <c r="B57" s="5" t="inlineStr">
        <is>
          <t>showdown_hands</t>
        </is>
      </c>
      <c r="C57" s="5" t="inlineStr">
        <is>
          <t>摊牌手数</t>
        </is>
      </c>
      <c r="D57" s="6" t="inlineStr">
        <is>
          <t>P0</t>
        </is>
      </c>
      <c r="E57" s="7" t="inlineStr">
        <is>
          <t>场景设计法</t>
        </is>
      </c>
      <c r="F57" s="7" t="inlineStr">
        <is>
          <t>Session基础</t>
        </is>
      </c>
      <c r="G57" s="7" t="inlineStr">
        <is>
          <t>是</t>
        </is>
      </c>
      <c r="H57" s="8" t="inlineStr">
        <is>
          <t>存在摊牌结果或亮牌信息的手牌数量</t>
        </is>
      </c>
      <c r="I57" s="8" t="inlineStr">
        <is>
          <t>存在 showdown_result、亮牌信息或 showdown 标记即计入</t>
        </is>
      </c>
      <c r="J57" s="8" t="inlineStr">
        <is>
          <t>摊牌手数正例-翻牌全下有人跟翻牌亮牌再发转河</t>
        </is>
      </c>
      <c r="K57" s="9" t="inlineStr">
        <is>
          <t>正例</t>
        </is>
      </c>
      <c r="L57" s="8" t="inlineStr">
        <is>
          <t>1、已登录，当前用户是 Hero。
2、素材含一手：用户翻牌全下，至少一人跟注；双方在翻牌亮手牌，随后发出转牌、河牌。加上这一手后摊牌手数=n+1</t>
        </is>
      </c>
      <c r="M57" s="8" t="inlineStr">
        <is>
          <t>1、上传素材，生成复盘报告，等到能打开。
2、打开「摊牌手数」，检查是否为n+1。</t>
        </is>
      </c>
      <c r="N57" s="8" t="inlineStr">
        <is>
          <t>摊牌手数=n+1</t>
        </is>
      </c>
      <c r="O57" s="8" t="inlineStr">
        <is>
          <t>session_summary.showdown_hands</t>
        </is>
      </c>
      <c r="P57" s="10" t="inlineStr">
        <is>
          <t>未执行</t>
        </is>
      </c>
      <c r="Q57" s="10" t="inlineStr"/>
      <c r="R57" s="11" t="inlineStr"/>
    </row>
    <row r="58" ht="72" customHeight="1">
      <c r="A58" s="5" t="inlineStr">
        <is>
          <t>TC-RPT-054</t>
        </is>
      </c>
      <c r="B58" s="5" t="inlineStr">
        <is>
          <t>showdown_hands</t>
        </is>
      </c>
      <c r="C58" s="5" t="inlineStr">
        <is>
          <t>摊牌手数</t>
        </is>
      </c>
      <c r="D58" s="6" t="inlineStr">
        <is>
          <t>P0</t>
        </is>
      </c>
      <c r="E58" s="7" t="inlineStr">
        <is>
          <t>场景设计法</t>
        </is>
      </c>
      <c r="F58" s="7" t="inlineStr">
        <is>
          <t>Session基础</t>
        </is>
      </c>
      <c r="G58" s="7" t="inlineStr">
        <is>
          <t>是</t>
        </is>
      </c>
      <c r="H58" s="8" t="inlineStr">
        <is>
          <t>存在摊牌结果或亮牌信息的手牌数量</t>
        </is>
      </c>
      <c r="I58" s="8" t="inlineStr">
        <is>
          <t>存在 showdown_result、亮牌信息或 showdown 标记即计入</t>
        </is>
      </c>
      <c r="J58" s="8" t="inlineStr">
        <is>
          <t>摊牌手数正例-转牌全下有人跟转牌亮牌再发河</t>
        </is>
      </c>
      <c r="K58" s="9" t="inlineStr">
        <is>
          <t>正例</t>
        </is>
      </c>
      <c r="L58" s="8" t="inlineStr">
        <is>
          <t>1、已登录，当前用户是 Hero。
2、素材含一手：用户转牌全下，至少一人跟注；双方在转牌亮手牌，随后发出河牌。加上这一手后摊牌手数=n+1</t>
        </is>
      </c>
      <c r="M58" s="8" t="inlineStr">
        <is>
          <t>1、上传素材，生成复盘报告，等到能打开。
2、打开「摊牌手数」，检查是否为n+1。</t>
        </is>
      </c>
      <c r="N58" s="8" t="inlineStr">
        <is>
          <t>摊牌手数=n+1</t>
        </is>
      </c>
      <c r="O58" s="8" t="inlineStr">
        <is>
          <t>session_summary.showdown_hands</t>
        </is>
      </c>
      <c r="P58" s="10" t="inlineStr">
        <is>
          <t>未执行</t>
        </is>
      </c>
      <c r="Q58" s="10" t="inlineStr"/>
      <c r="R58" s="11" t="inlineStr"/>
    </row>
    <row r="59" ht="72" customHeight="1">
      <c r="A59" s="5" t="inlineStr">
        <is>
          <t>TC-RPT-055</t>
        </is>
      </c>
      <c r="B59" s="5" t="inlineStr">
        <is>
          <t>showdown_hands</t>
        </is>
      </c>
      <c r="C59" s="5" t="inlineStr">
        <is>
          <t>摊牌手数</t>
        </is>
      </c>
      <c r="D59" s="6" t="inlineStr">
        <is>
          <t>P0</t>
        </is>
      </c>
      <c r="E59" s="7" t="inlineStr">
        <is>
          <t>场景设计法</t>
        </is>
      </c>
      <c r="F59" s="7" t="inlineStr">
        <is>
          <t>Session基础</t>
        </is>
      </c>
      <c r="G59" s="7" t="inlineStr">
        <is>
          <t>是</t>
        </is>
      </c>
      <c r="H59" s="8" t="inlineStr">
        <is>
          <t>存在摊牌结果或亮牌信息的手牌数量</t>
        </is>
      </c>
      <c r="I59" s="8" t="inlineStr">
        <is>
          <t>存在 showdown_result、亮牌信息或 showdown 标记即计入</t>
        </is>
      </c>
      <c r="J59" s="8" t="inlineStr">
        <is>
          <t>摊牌手数正例-河牌有人跟河牌亮牌</t>
        </is>
      </c>
      <c r="K59" s="9" t="inlineStr">
        <is>
          <t>正例</t>
        </is>
      </c>
      <c r="L59" s="8" t="inlineStr">
        <is>
          <t>1、已登录，当前用户是 Hero。
2、素材含一手：河牌有人下注至少一人跟；双方在河牌亮手牌，不再发牌。加上这一手后摊牌手数=n+1</t>
        </is>
      </c>
      <c r="M59" s="8" t="inlineStr">
        <is>
          <t>1、上传素材，生成复盘报告，等到能打开。
2、打开「摊牌手数」，检查是否为n+1。</t>
        </is>
      </c>
      <c r="N59" s="8" t="inlineStr">
        <is>
          <t>摊牌手数=n+1</t>
        </is>
      </c>
      <c r="O59" s="8" t="inlineStr">
        <is>
          <t>session_summary.showdown_hands</t>
        </is>
      </c>
      <c r="P59" s="10" t="inlineStr">
        <is>
          <t>未执行</t>
        </is>
      </c>
      <c r="Q59" s="10" t="inlineStr"/>
      <c r="R59" s="11" t="inlineStr"/>
    </row>
    <row r="60" ht="72" customHeight="1">
      <c r="A60" s="5" t="inlineStr">
        <is>
          <t>TC-RPT-056</t>
        </is>
      </c>
      <c r="B60" s="5" t="inlineStr">
        <is>
          <t>showdown_hands</t>
        </is>
      </c>
      <c r="C60" s="5" t="inlineStr">
        <is>
          <t>摊牌手数</t>
        </is>
      </c>
      <c r="D60" s="6" t="inlineStr">
        <is>
          <t>P0</t>
        </is>
      </c>
      <c r="E60" s="7" t="inlineStr">
        <is>
          <t>场景设计法</t>
        </is>
      </c>
      <c r="F60" s="7" t="inlineStr">
        <is>
          <t>Session基础</t>
        </is>
      </c>
      <c r="G60" s="7" t="inlineStr">
        <is>
          <t>是</t>
        </is>
      </c>
      <c r="H60" s="8" t="inlineStr">
        <is>
          <t>存在摊牌结果或亮牌信息的手牌数量</t>
        </is>
      </c>
      <c r="I60" s="8" t="inlineStr">
        <is>
          <t>存在 showdown_result、亮牌信息或 showdown 标记即计入</t>
        </is>
      </c>
      <c r="J60" s="8" t="inlineStr">
        <is>
          <t>摊牌手数正例-多人底池全下亮牌仍只加1手</t>
        </is>
      </c>
      <c r="K60" s="9" t="inlineStr">
        <is>
          <t>正例</t>
        </is>
      </c>
      <c r="L60" s="8" t="inlineStr">
        <is>
          <t>1、已登录，当前用户是 Hero。
2、素材含一手：翻前至少3人全下且有人跟到底；3人在翻前亮手牌，随后发出翻、转、河。加上这一手后摊牌手数只+1</t>
        </is>
      </c>
      <c r="M60" s="8" t="inlineStr">
        <is>
          <t>1、上传素材，生成复盘报告，等到能打开。
2、打开「摊牌手数」，检查是否为n+1。</t>
        </is>
      </c>
      <c r="N60" s="8" t="inlineStr">
        <is>
          <t>摊牌手数=n+1</t>
        </is>
      </c>
      <c r="O60" s="8" t="inlineStr">
        <is>
          <t>session_summary.showdown_hands</t>
        </is>
      </c>
      <c r="P60" s="10" t="inlineStr">
        <is>
          <t>未执行</t>
        </is>
      </c>
      <c r="Q60" s="10" t="inlineStr"/>
      <c r="R60" s="11" t="inlineStr"/>
    </row>
    <row r="61" ht="72" customHeight="1">
      <c r="A61" s="5" t="inlineStr">
        <is>
          <t>TC-RPT-057</t>
        </is>
      </c>
      <c r="B61" s="5" t="inlineStr">
        <is>
          <t>showdown_hands</t>
        </is>
      </c>
      <c r="C61" s="5" t="inlineStr">
        <is>
          <t>摊牌手数</t>
        </is>
      </c>
      <c r="D61" s="6" t="inlineStr">
        <is>
          <t>P0</t>
        </is>
      </c>
      <c r="E61" s="7" t="inlineStr">
        <is>
          <t>场景设计法</t>
        </is>
      </c>
      <c r="F61" s="7" t="inlineStr">
        <is>
          <t>Session基础</t>
        </is>
      </c>
      <c r="G61" s="7" t="inlineStr">
        <is>
          <t>是</t>
        </is>
      </c>
      <c r="H61" s="8" t="inlineStr">
        <is>
          <t>存在摊牌结果或亮牌信息的手牌数量</t>
        </is>
      </c>
      <c r="I61" s="8" t="inlineStr">
        <is>
          <t>存在 showdown_result、亮牌信息或 showdown 标记即计入</t>
        </is>
      </c>
      <c r="J61" s="8" t="inlineStr">
        <is>
          <t>摊牌手数反例-翻前全下无人跟不发公牌</t>
        </is>
      </c>
      <c r="K61" s="12" t="inlineStr">
        <is>
          <t>反例</t>
        </is>
      </c>
      <c r="L61" s="8" t="inlineStr">
        <is>
          <t>1、已登录，当前用户是 Hero。
2、素材含一手：Hero翻前全下，其余人全弃；不发翻/转/河，翻前直接收池，双方不亮牌。该手不含，摊牌手数仍=n</t>
        </is>
      </c>
      <c r="M61" s="8" t="inlineStr">
        <is>
          <t>1、上传素材，生成复盘报告，等到能打开。
2、打开「摊牌手数」，检查是否为n。</t>
        </is>
      </c>
      <c r="N61" s="8" t="inlineStr">
        <is>
          <t>摊牌手数=n</t>
        </is>
      </c>
      <c r="O61" s="8" t="inlineStr">
        <is>
          <t>session_summary.showdown_hands</t>
        </is>
      </c>
      <c r="P61" s="10" t="inlineStr">
        <is>
          <t>未执行</t>
        </is>
      </c>
      <c r="Q61" s="10" t="inlineStr"/>
      <c r="R61" s="11" t="inlineStr"/>
    </row>
    <row r="62" ht="72" customHeight="1">
      <c r="A62" s="5" t="inlineStr">
        <is>
          <t>TC-RPT-058</t>
        </is>
      </c>
      <c r="B62" s="5" t="inlineStr">
        <is>
          <t>showdown_hands</t>
        </is>
      </c>
      <c r="C62" s="5" t="inlineStr">
        <is>
          <t>摊牌手数</t>
        </is>
      </c>
      <c r="D62" s="6" t="inlineStr">
        <is>
          <t>P0</t>
        </is>
      </c>
      <c r="E62" s="7" t="inlineStr">
        <is>
          <t>场景设计法</t>
        </is>
      </c>
      <c r="F62" s="7" t="inlineStr">
        <is>
          <t>Session基础</t>
        </is>
      </c>
      <c r="G62" s="7" t="inlineStr">
        <is>
          <t>是</t>
        </is>
      </c>
      <c r="H62" s="8" t="inlineStr">
        <is>
          <t>存在摊牌结果或亮牌信息的手牌数量</t>
        </is>
      </c>
      <c r="I62" s="8" t="inlineStr">
        <is>
          <t>存在 showdown_result、亮牌信息或 showdown 标记即计入</t>
        </is>
      </c>
      <c r="J62" s="8" t="inlineStr">
        <is>
          <t>摊牌手数反例-翻牌有人弃不发转河未亮</t>
        </is>
      </c>
      <c r="K62" s="12" t="inlineStr">
        <is>
          <t>反例</t>
        </is>
      </c>
      <c r="L62" s="8" t="inlineStr">
        <is>
          <t>1、已登录，当前用户是 Hero。
2、素材含一手：翻牌有人弃牌结束；不发转牌、河牌，双方不亮牌。该手不含，摊牌手数仍=n</t>
        </is>
      </c>
      <c r="M62" s="8" t="inlineStr">
        <is>
          <t>1、上传素材，生成复盘报告，等到能打开。
2、打开「摊牌手数」，检查是否为n。</t>
        </is>
      </c>
      <c r="N62" s="8" t="inlineStr">
        <is>
          <t>摊牌手数=n</t>
        </is>
      </c>
      <c r="O62" s="8" t="inlineStr">
        <is>
          <t>session_summary.showdown_hands</t>
        </is>
      </c>
      <c r="P62" s="10" t="inlineStr">
        <is>
          <t>未执行</t>
        </is>
      </c>
      <c r="Q62" s="10" t="inlineStr"/>
      <c r="R62" s="11" t="inlineStr"/>
    </row>
    <row r="63" ht="72" customHeight="1">
      <c r="A63" s="5" t="inlineStr">
        <is>
          <t>TC-RPT-059</t>
        </is>
      </c>
      <c r="B63" s="5" t="inlineStr">
        <is>
          <t>showdown_hands</t>
        </is>
      </c>
      <c r="C63" s="5" t="inlineStr">
        <is>
          <t>摊牌手数</t>
        </is>
      </c>
      <c r="D63" s="6" t="inlineStr">
        <is>
          <t>P0</t>
        </is>
      </c>
      <c r="E63" s="7" t="inlineStr">
        <is>
          <t>场景设计法</t>
        </is>
      </c>
      <c r="F63" s="7" t="inlineStr">
        <is>
          <t>Session基础</t>
        </is>
      </c>
      <c r="G63" s="7" t="inlineStr">
        <is>
          <t>是</t>
        </is>
      </c>
      <c r="H63" s="8" t="inlineStr">
        <is>
          <t>存在摊牌结果或亮牌信息的手牌数量</t>
        </is>
      </c>
      <c r="I63" s="8" t="inlineStr">
        <is>
          <t>存在 showdown_result、亮牌信息或 showdown 标记即计入</t>
        </is>
      </c>
      <c r="J63" s="8" t="inlineStr">
        <is>
          <t>摊牌手数反例-转牌有人弃不发河未亮</t>
        </is>
      </c>
      <c r="K63" s="12" t="inlineStr">
        <is>
          <t>反例</t>
        </is>
      </c>
      <c r="L63" s="8" t="inlineStr">
        <is>
          <t>1、已登录，当前用户是 Hero。
2、素材含一手：转牌有人弃牌结束；不发河牌，双方不亮牌。该手不含，摊牌手数仍=n</t>
        </is>
      </c>
      <c r="M63" s="8" t="inlineStr">
        <is>
          <t>1、上传素材，生成复盘报告，等到能打开。
2、打开「摊牌手数」，检查是否为n。</t>
        </is>
      </c>
      <c r="N63" s="8" t="inlineStr">
        <is>
          <t>摊牌手数=n</t>
        </is>
      </c>
      <c r="O63" s="8" t="inlineStr">
        <is>
          <t>session_summary.showdown_hands</t>
        </is>
      </c>
      <c r="P63" s="10" t="inlineStr">
        <is>
          <t>未执行</t>
        </is>
      </c>
      <c r="Q63" s="10" t="inlineStr"/>
      <c r="R63" s="11" t="inlineStr"/>
    </row>
    <row r="64" ht="72" customHeight="1">
      <c r="A64" s="5" t="inlineStr">
        <is>
          <t>TC-RPT-060</t>
        </is>
      </c>
      <c r="B64" s="5" t="inlineStr">
        <is>
          <t>showdown_hands</t>
        </is>
      </c>
      <c r="C64" s="5" t="inlineStr">
        <is>
          <t>摊牌手数</t>
        </is>
      </c>
      <c r="D64" s="6" t="inlineStr">
        <is>
          <t>P0</t>
        </is>
      </c>
      <c r="E64" s="7" t="inlineStr">
        <is>
          <t>场景设计法</t>
        </is>
      </c>
      <c r="F64" s="7" t="inlineStr">
        <is>
          <t>Session基础</t>
        </is>
      </c>
      <c r="G64" s="7" t="inlineStr">
        <is>
          <t>是</t>
        </is>
      </c>
      <c r="H64" s="8" t="inlineStr">
        <is>
          <t>存在摊牌结果或亮牌信息的手牌数量</t>
        </is>
      </c>
      <c r="I64" s="8" t="inlineStr">
        <is>
          <t>存在 showdown_result、亮牌信息或 showdown 标记即计入</t>
        </is>
      </c>
      <c r="J64" s="8" t="inlineStr">
        <is>
          <t>摊牌手数反例-河牌有人弃未亮收池</t>
        </is>
      </c>
      <c r="K64" s="12" t="inlineStr">
        <is>
          <t>反例</t>
        </is>
      </c>
      <c r="L64" s="8" t="inlineStr">
        <is>
          <t>1、已登录，当前用户是 Hero。
2、素材含一手：河牌对手弃牌，用户收池；河牌双方不亮牌。该手不含，摊牌手数仍=n</t>
        </is>
      </c>
      <c r="M64" s="8" t="inlineStr">
        <is>
          <t>1、上传素材，生成复盘报告，等到能打开。
2、打开「摊牌手数」，检查是否为n。</t>
        </is>
      </c>
      <c r="N64" s="8" t="inlineStr">
        <is>
          <t>摊牌手数=n</t>
        </is>
      </c>
      <c r="O64" s="8" t="inlineStr">
        <is>
          <t>session_summary.showdown_hands</t>
        </is>
      </c>
      <c r="P64" s="10" t="inlineStr">
        <is>
          <t>未执行</t>
        </is>
      </c>
      <c r="Q64" s="10" t="inlineStr"/>
      <c r="R64" s="11" t="inlineStr"/>
    </row>
    <row r="65" ht="72" customHeight="1">
      <c r="A65" s="5" t="inlineStr">
        <is>
          <t>TC-RPT-061</t>
        </is>
      </c>
      <c r="B65" s="5" t="inlineStr">
        <is>
          <t>showdown_hands</t>
        </is>
      </c>
      <c r="C65" s="5" t="inlineStr">
        <is>
          <t>摊牌手数</t>
        </is>
      </c>
      <c r="D65" s="6" t="inlineStr">
        <is>
          <t>P0</t>
        </is>
      </c>
      <c r="E65" s="7" t="inlineStr">
        <is>
          <t>场景设计法</t>
        </is>
      </c>
      <c r="F65" s="7" t="inlineStr">
        <is>
          <t>Session基础</t>
        </is>
      </c>
      <c r="G65" s="7" t="inlineStr">
        <is>
          <t>是</t>
        </is>
      </c>
      <c r="H65" s="8" t="inlineStr">
        <is>
          <t>存在摊牌结果或亮牌信息的手牌数量</t>
        </is>
      </c>
      <c r="I65" s="8" t="inlineStr">
        <is>
          <t>存在 showdown_result、亮牌信息或 showdown 标记即计入</t>
        </is>
      </c>
      <c r="J65" s="8" t="inlineStr">
        <is>
          <t>摊牌手数反例-翻前弃牌后点手牌展示</t>
        </is>
      </c>
      <c r="K65" s="12" t="inlineStr">
        <is>
          <t>反例</t>
        </is>
      </c>
      <c r="L65" s="8" t="inlineStr">
        <is>
          <t>1、已登录，当前用户是 Hero。
2、Hero翻前弃牌，之后点击手牌区域展示牌面，未真摊牌。摊牌手数仍=n</t>
        </is>
      </c>
      <c r="M65" s="8" t="inlineStr">
        <is>
          <t>1、上传素材，生成复盘报告，等到能打开。
2、打开「摊牌手数」，检查是否为n。</t>
        </is>
      </c>
      <c r="N65" s="8" t="inlineStr">
        <is>
          <t>摊牌手数=n</t>
        </is>
      </c>
      <c r="O65" s="8" t="inlineStr">
        <is>
          <t>session_summary.showdown_hands</t>
        </is>
      </c>
      <c r="P65" s="10" t="inlineStr">
        <is>
          <t>未执行</t>
        </is>
      </c>
      <c r="Q65" s="10" t="inlineStr"/>
      <c r="R65" s="11" t="inlineStr"/>
    </row>
    <row r="66" ht="72" customHeight="1">
      <c r="A66" s="5" t="inlineStr">
        <is>
          <t>TC-RPT-062</t>
        </is>
      </c>
      <c r="B66" s="5" t="inlineStr">
        <is>
          <t>participation_rate</t>
        </is>
      </c>
      <c r="C66" s="5" t="inlineStr">
        <is>
          <t>参与率</t>
        </is>
      </c>
      <c r="D66" s="13" t="inlineStr">
        <is>
          <t>P1</t>
        </is>
      </c>
      <c r="E66" s="7" t="inlineStr">
        <is>
          <t>等价类划分法</t>
        </is>
      </c>
      <c r="F66" s="7" t="inlineStr">
        <is>
          <t>Session基础</t>
        </is>
      </c>
      <c r="G66" s="7" t="inlineStr">
        <is>
          <t>内部</t>
        </is>
      </c>
      <c r="H66" s="8" t="inlineStr">
        <is>
          <t>Hero 本场参与活跃度</t>
        </is>
      </c>
      <c r="I66" s="8" t="inlineStr">
        <is>
          <t>hands_played / total_hands</t>
        </is>
      </c>
      <c r="J66" s="8" t="inlineStr">
        <is>
          <t>参与率正例-参与手数除以总手数</t>
        </is>
      </c>
      <c r="K66" s="9" t="inlineStr">
        <is>
          <t>正例</t>
        </is>
      </c>
      <c r="L66" s="8" t="inlineStr">
        <is>
          <t>1、已登录，当前用户是 Hero。只用正例场。
2、素材里分子次数=a，分母次数=b，「参与率」应对=a/b</t>
        </is>
      </c>
      <c r="M66" s="8" t="inlineStr">
        <is>
          <t>1、上传素材，生成复盘报告，等到能打开。
2、打开「参与率」，检查是否为a/b。</t>
        </is>
      </c>
      <c r="N66" s="8" t="inlineStr">
        <is>
          <t>参与率=a/b</t>
        </is>
      </c>
      <c r="O66" s="8" t="inlineStr">
        <is>
          <t>session_summary.participation_rate</t>
        </is>
      </c>
      <c r="P66" s="10" t="inlineStr">
        <is>
          <t>未执行</t>
        </is>
      </c>
      <c r="Q66" s="10" t="inlineStr"/>
      <c r="R66" s="11" t="inlineStr"/>
    </row>
    <row r="67" ht="72" customHeight="1">
      <c r="A67" s="5" t="inlineStr">
        <is>
          <t>TC-RPT-063</t>
        </is>
      </c>
      <c r="B67" s="5" t="inlineStr">
        <is>
          <t>participation_rate</t>
        </is>
      </c>
      <c r="C67" s="5" t="inlineStr">
        <is>
          <t>参与率</t>
        </is>
      </c>
      <c r="D67" s="13" t="inlineStr">
        <is>
          <t>P1</t>
        </is>
      </c>
      <c r="E67" s="7" t="inlineStr">
        <is>
          <t>因果图法</t>
        </is>
      </c>
      <c r="F67" s="7" t="inlineStr">
        <is>
          <t>Session基础</t>
        </is>
      </c>
      <c r="G67" s="7" t="inlineStr">
        <is>
          <t>内部</t>
        </is>
      </c>
      <c r="H67" s="8" t="inlineStr">
        <is>
          <t>Hero 本场参与活跃度</t>
        </is>
      </c>
      <c r="I67" s="8" t="inlineStr">
        <is>
          <t>hands_played / total_hands</t>
        </is>
      </c>
      <c r="J67" s="8" t="inlineStr">
        <is>
          <t>参与率正例-Hero前位翻前弃牌盈亏为0</t>
        </is>
      </c>
      <c r="K67" s="9" t="inlineStr">
        <is>
          <t>正例</t>
        </is>
      </c>
      <c r="L67" s="8" t="inlineStr">
        <is>
          <t>1、已登录，当前用户是 Hero。
2、前位翻前弃牌，盈亏=0。总手数含这一手，参与手数不含这一手
3、手算分子=a、分母=b，「参与率」应为=a/b</t>
        </is>
      </c>
      <c r="M67" s="8" t="inlineStr">
        <is>
          <t>1、上传素材，生成复盘报告，等到能打开。
2、打开「参与率」，检查是否为a/b。</t>
        </is>
      </c>
      <c r="N67" s="8" t="inlineStr">
        <is>
          <t>参与率=a/b</t>
        </is>
      </c>
      <c r="O67" s="8" t="inlineStr">
        <is>
          <t>session_summary.participation_rate</t>
        </is>
      </c>
      <c r="P67" s="10" t="inlineStr">
        <is>
          <t>未执行</t>
        </is>
      </c>
      <c r="Q67" s="10" t="inlineStr"/>
      <c r="R67" s="11" t="inlineStr"/>
    </row>
    <row r="68" ht="72" customHeight="1">
      <c r="A68" s="5" t="inlineStr">
        <is>
          <t>TC-RPT-064</t>
        </is>
      </c>
      <c r="B68" s="5" t="inlineStr">
        <is>
          <t>participation_rate</t>
        </is>
      </c>
      <c r="C68" s="5" t="inlineStr">
        <is>
          <t>参与率</t>
        </is>
      </c>
      <c r="D68" s="13" t="inlineStr">
        <is>
          <t>P1</t>
        </is>
      </c>
      <c r="E68" s="7" t="inlineStr">
        <is>
          <t>边界值分析法</t>
        </is>
      </c>
      <c r="F68" s="7" t="inlineStr">
        <is>
          <t>Session基础</t>
        </is>
      </c>
      <c r="G68" s="7" t="inlineStr">
        <is>
          <t>内部</t>
        </is>
      </c>
      <c r="H68" s="8" t="inlineStr">
        <is>
          <t>Hero 本场参与活跃度</t>
        </is>
      </c>
      <c r="I68" s="8" t="inlineStr">
        <is>
          <t>hands_played / total_hands</t>
        </is>
      </c>
      <c r="J68" s="8" t="inlineStr">
        <is>
          <t>参与率反例-分母为0字段不出现</t>
        </is>
      </c>
      <c r="K68" s="12" t="inlineStr">
        <is>
          <t>反例</t>
        </is>
      </c>
      <c r="L68" s="8" t="inlineStr">
        <is>
          <t>1、已登录，当前用户是 Hero。
2、本场分母次数为 0。「参与率」应为空或不出现，不能写成 0% 或 100%。</t>
        </is>
      </c>
      <c r="M68" s="8" t="inlineStr">
        <is>
          <t>1、上传素材，生成复盘报告，等到能打开。
2、打开「参与率」，检查是否为空或不出现。</t>
        </is>
      </c>
      <c r="N68" s="8" t="inlineStr">
        <is>
          <t>参与率为空或不出现</t>
        </is>
      </c>
      <c r="O68" s="8" t="inlineStr">
        <is>
          <t>session_summary.participation_rate</t>
        </is>
      </c>
      <c r="P68" s="10" t="inlineStr">
        <is>
          <t>未执行</t>
        </is>
      </c>
      <c r="Q68" s="10" t="inlineStr"/>
      <c r="R68" s="11" t="inlineStr"/>
    </row>
    <row r="69" ht="72" customHeight="1">
      <c r="A69" s="5" t="inlineStr">
        <is>
          <t>TC-RPT-065</t>
        </is>
      </c>
      <c r="B69" s="5" t="inlineStr">
        <is>
          <t>participation_rate</t>
        </is>
      </c>
      <c r="C69" s="5" t="inlineStr">
        <is>
          <t>参与率</t>
        </is>
      </c>
      <c r="D69" s="13" t="inlineStr">
        <is>
          <t>P1</t>
        </is>
      </c>
      <c r="E69" s="7" t="inlineStr">
        <is>
          <t>边界值分析法</t>
        </is>
      </c>
      <c r="F69" s="7" t="inlineStr">
        <is>
          <t>Session基础</t>
        </is>
      </c>
      <c r="G69" s="7" t="inlineStr">
        <is>
          <t>内部</t>
        </is>
      </c>
      <c r="H69" s="8" t="inlineStr">
        <is>
          <t>Hero 本场参与活跃度</t>
        </is>
      </c>
      <c r="I69" s="8" t="inlineStr">
        <is>
          <t>hands_played / total_hands</t>
        </is>
      </c>
      <c r="J69" s="8" t="inlineStr">
        <is>
          <t>参与率正例-单位与换算正确</t>
        </is>
      </c>
      <c r="K69" s="9" t="inlineStr">
        <is>
          <t>正例</t>
        </is>
      </c>
      <c r="L69" s="8" t="inlineStr">
        <is>
          <t>1、已登录，当前用户是 Hero。
2、各手筹码和大盲已记下，按该手换算后「参与率」=n</t>
        </is>
      </c>
      <c r="M69" s="8" t="inlineStr">
        <is>
          <t>1、上传素材，生成复盘报告，等到能打开。
2、打开「参与率」，检查是否为n。</t>
        </is>
      </c>
      <c r="N69" s="8" t="inlineStr">
        <is>
          <t>参与率=n</t>
        </is>
      </c>
      <c r="O69" s="8" t="inlineStr">
        <is>
          <t>session_summary.participation_rate</t>
        </is>
      </c>
      <c r="P69" s="10" t="inlineStr">
        <is>
          <t>未执行</t>
        </is>
      </c>
      <c r="Q69" s="10" t="inlineStr"/>
      <c r="R69" s="11" t="inlineStr"/>
    </row>
    <row r="70" ht="72" customHeight="1">
      <c r="A70" s="5" t="inlineStr">
        <is>
          <t>TC-RPT-066</t>
        </is>
      </c>
      <c r="B70" s="5" t="inlineStr">
        <is>
          <t>participation_rate</t>
        </is>
      </c>
      <c r="C70" s="5" t="inlineStr">
        <is>
          <t>参与率</t>
        </is>
      </c>
      <c r="D70" s="13" t="inlineStr">
        <is>
          <t>P1</t>
        </is>
      </c>
      <c r="E70" s="7" t="inlineStr">
        <is>
          <t>场景设计法</t>
        </is>
      </c>
      <c r="F70" s="7" t="inlineStr">
        <is>
          <t>Session基础</t>
        </is>
      </c>
      <c r="G70" s="7" t="inlineStr">
        <is>
          <t>内部</t>
        </is>
      </c>
      <c r="H70" s="8" t="inlineStr">
        <is>
          <t>Hero 本场参与活跃度</t>
        </is>
      </c>
      <c r="I70" s="8" t="inlineStr">
        <is>
          <t>hands_played / total_hands</t>
        </is>
      </c>
      <c r="J70" s="8" t="inlineStr">
        <is>
          <t>参与率反例-Hero前位翻前弃牌盈亏为0</t>
        </is>
      </c>
      <c r="K70" s="12" t="inlineStr">
        <is>
          <t>反例</t>
        </is>
      </c>
      <c r="L70" s="8" t="inlineStr">
        <is>
          <t>1、已登录，当前用户是 Hero。
2、素材含一手：Hero前位翻前弃牌，盈亏=0。总手数含它，参与手数不含，参与率=a/b</t>
        </is>
      </c>
      <c r="M70" s="8" t="inlineStr">
        <is>
          <t>1、上传素材，生成复盘报告，等到能打开。
2、打开「参与率」，检查是否为a/b。</t>
        </is>
      </c>
      <c r="N70" s="8" t="inlineStr">
        <is>
          <t>参与率=a/b</t>
        </is>
      </c>
      <c r="O70" s="8" t="inlineStr">
        <is>
          <t>session_summary.participation_rate</t>
        </is>
      </c>
      <c r="P70" s="10" t="inlineStr">
        <is>
          <t>未执行</t>
        </is>
      </c>
      <c r="Q70" s="10" t="inlineStr"/>
      <c r="R70" s="11" t="inlineStr"/>
    </row>
    <row r="71" ht="72" customHeight="1">
      <c r="A71" s="5" t="inlineStr">
        <is>
          <t>TC-RPT-067</t>
        </is>
      </c>
      <c r="B71" s="5" t="inlineStr">
        <is>
          <t>participation_rate</t>
        </is>
      </c>
      <c r="C71" s="5" t="inlineStr">
        <is>
          <t>参与率</t>
        </is>
      </c>
      <c r="D71" s="13" t="inlineStr">
        <is>
          <t>P1</t>
        </is>
      </c>
      <c r="E71" s="7" t="inlineStr">
        <is>
          <t>场景设计法</t>
        </is>
      </c>
      <c r="F71" s="7" t="inlineStr">
        <is>
          <t>Session基础</t>
        </is>
      </c>
      <c r="G71" s="7" t="inlineStr">
        <is>
          <t>内部</t>
        </is>
      </c>
      <c r="H71" s="8" t="inlineStr">
        <is>
          <t>Hero 本场参与活跃度</t>
        </is>
      </c>
      <c r="I71" s="8" t="inlineStr">
        <is>
          <t>hands_played / total_hands</t>
        </is>
      </c>
      <c r="J71" s="8" t="inlineStr">
        <is>
          <t>参与率正例-翻前全下无人跟仍算参与</t>
        </is>
      </c>
      <c r="K71" s="9" t="inlineStr">
        <is>
          <t>正例</t>
        </is>
      </c>
      <c r="L71" s="8" t="inlineStr">
        <is>
          <t>1、已登录，当前用户是 Hero。
2、素材含一手：Hero翻前全下，其余人全弃收池。总手数含它，参与手数也含，参与率分子应+1</t>
        </is>
      </c>
      <c r="M71" s="8" t="inlineStr">
        <is>
          <t>1、上传素材，生成复盘报告，等到能打开。
2、打开「参与率」，检查是否为a/b。</t>
        </is>
      </c>
      <c r="N71" s="8" t="inlineStr">
        <is>
          <t>参与率=a/b</t>
        </is>
      </c>
      <c r="O71" s="8" t="inlineStr">
        <is>
          <t>session_summary.participation_rate</t>
        </is>
      </c>
      <c r="P71" s="10" t="inlineStr">
        <is>
          <t>未执行</t>
        </is>
      </c>
      <c r="Q71" s="10" t="inlineStr"/>
      <c r="R71" s="11" t="inlineStr"/>
    </row>
    <row r="72" ht="72" customHeight="1">
      <c r="A72" s="5" t="inlineStr">
        <is>
          <t>TC-RPT-068</t>
        </is>
      </c>
      <c r="B72" s="5" t="inlineStr">
        <is>
          <t>preflop_fold_rate</t>
        </is>
      </c>
      <c r="C72" s="5" t="inlineStr">
        <is>
          <t>翻前弃牌率</t>
        </is>
      </c>
      <c r="D72" s="13" t="inlineStr">
        <is>
          <t>P1</t>
        </is>
      </c>
      <c r="E72" s="7" t="inlineStr">
        <is>
          <t>等价类划分法</t>
        </is>
      </c>
      <c r="F72" s="7" t="inlineStr">
        <is>
          <t>Session基础</t>
        </is>
      </c>
      <c r="G72" s="7" t="inlineStr">
        <is>
          <t>内部</t>
        </is>
      </c>
      <c r="H72" s="8" t="inlineStr">
        <is>
          <t>Hero 翻前弃牌倾向</t>
        </is>
      </c>
      <c r="I72" s="8" t="inlineStr">
        <is>
          <t>folded_preflop_hands / total_hands</t>
        </is>
      </c>
      <c r="J72" s="8" t="inlineStr">
        <is>
          <t>翻前弃牌率正例-翻前弃牌手除以总手数</t>
        </is>
      </c>
      <c r="K72" s="9" t="inlineStr">
        <is>
          <t>正例</t>
        </is>
      </c>
      <c r="L72" s="8" t="inlineStr">
        <is>
          <t>1、已登录，当前用户是 Hero。只用正例场。
2、素材里分子次数=a，分母次数=b，「翻前弃牌率」应对=a/b</t>
        </is>
      </c>
      <c r="M72" s="8" t="inlineStr">
        <is>
          <t>1、上传素材，生成复盘报告，等到能打开。
2、打开「翻前弃牌率」，检查是否为a/b。</t>
        </is>
      </c>
      <c r="N72" s="8" t="inlineStr">
        <is>
          <t>翻前弃牌率=a/b</t>
        </is>
      </c>
      <c r="O72" s="8" t="inlineStr">
        <is>
          <t>session_summary.preflop_fold_rate</t>
        </is>
      </c>
      <c r="P72" s="10" t="inlineStr">
        <is>
          <t>未执行</t>
        </is>
      </c>
      <c r="Q72" s="10" t="inlineStr"/>
      <c r="R72" s="11" t="inlineStr"/>
    </row>
    <row r="73" ht="72" customHeight="1">
      <c r="A73" s="5" t="inlineStr">
        <is>
          <t>TC-RPT-069</t>
        </is>
      </c>
      <c r="B73" s="5" t="inlineStr">
        <is>
          <t>preflop_fold_rate</t>
        </is>
      </c>
      <c r="C73" s="5" t="inlineStr">
        <is>
          <t>翻前弃牌率</t>
        </is>
      </c>
      <c r="D73" s="13" t="inlineStr">
        <is>
          <t>P1</t>
        </is>
      </c>
      <c r="E73" s="7" t="inlineStr">
        <is>
          <t>等价类划分法</t>
        </is>
      </c>
      <c r="F73" s="7" t="inlineStr">
        <is>
          <t>Session基础</t>
        </is>
      </c>
      <c r="G73" s="7" t="inlineStr">
        <is>
          <t>内部</t>
        </is>
      </c>
      <c r="H73" s="8" t="inlineStr">
        <is>
          <t>Hero 翻前弃牌倾向</t>
        </is>
      </c>
      <c r="I73" s="8" t="inlineStr">
        <is>
          <t>folded_preflop_hands / total_hands</t>
        </is>
      </c>
      <c r="J73" s="8" t="inlineStr">
        <is>
          <t>翻前弃牌率反例-翻前跟注或加注翻牌后才弃牌</t>
        </is>
      </c>
      <c r="K73" s="12" t="inlineStr">
        <is>
          <t>反例</t>
        </is>
      </c>
      <c r="L73" s="8" t="inlineStr">
        <is>
          <t>1、已登录，当前用户是 Hero。准备下列不该计入的素材。
2、Hero翻前跟注或加注后进翻牌后。总手数含这一手，翻前弃牌分子不含，「翻前弃牌率」仍=a/b</t>
        </is>
      </c>
      <c r="M73" s="8" t="inlineStr">
        <is>
          <t>1、上传素材，生成复盘报告，等到能打开。
2、打开「翻前弃牌率」，检查是否为a/b。</t>
        </is>
      </c>
      <c r="N73" s="8" t="inlineStr">
        <is>
          <t>翻前弃牌率=a/b</t>
        </is>
      </c>
      <c r="O73" s="8" t="inlineStr">
        <is>
          <t>session_summary.preflop_fold_rate</t>
        </is>
      </c>
      <c r="P73" s="10" t="inlineStr">
        <is>
          <t>未执行</t>
        </is>
      </c>
      <c r="Q73" s="10" t="inlineStr"/>
      <c r="R73" s="11" t="inlineStr"/>
    </row>
    <row r="74" ht="72" customHeight="1">
      <c r="A74" s="5" t="inlineStr">
        <is>
          <t>TC-RPT-070</t>
        </is>
      </c>
      <c r="B74" s="5" t="inlineStr">
        <is>
          <t>preflop_fold_rate</t>
        </is>
      </c>
      <c r="C74" s="5" t="inlineStr">
        <is>
          <t>翻前弃牌率</t>
        </is>
      </c>
      <c r="D74" s="13" t="inlineStr">
        <is>
          <t>P1</t>
        </is>
      </c>
      <c r="E74" s="7" t="inlineStr">
        <is>
          <t>因果图法</t>
        </is>
      </c>
      <c r="F74" s="7" t="inlineStr">
        <is>
          <t>Session基础</t>
        </is>
      </c>
      <c r="G74" s="7" t="inlineStr">
        <is>
          <t>内部</t>
        </is>
      </c>
      <c r="H74" s="8" t="inlineStr">
        <is>
          <t>Hero 翻前弃牌倾向</t>
        </is>
      </c>
      <c r="I74" s="8" t="inlineStr">
        <is>
          <t>folded_preflop_hands / total_hands</t>
        </is>
      </c>
      <c r="J74" s="8" t="inlineStr">
        <is>
          <t>翻前弃牌率正例-翻前跟注或加注后进翻牌后</t>
        </is>
      </c>
      <c r="K74" s="9" t="inlineStr">
        <is>
          <t>正例</t>
        </is>
      </c>
      <c r="L74" s="8" t="inlineStr">
        <is>
          <t>1、已登录，当前用户是 Hero。
2、翻前跟注或加注后进了翻后。总手数含这一手，翻前弃牌手数不含这一手
3、手算分子=a、分母=b，「翻前弃牌率」应为=a/b</t>
        </is>
      </c>
      <c r="M74" s="8" t="inlineStr">
        <is>
          <t>1、上传素材，生成复盘报告，等到能打开。
2、打开「翻前弃牌率」，检查是否为a/b。</t>
        </is>
      </c>
      <c r="N74" s="8" t="inlineStr">
        <is>
          <t>翻前弃牌率=a/b</t>
        </is>
      </c>
      <c r="O74" s="8" t="inlineStr">
        <is>
          <t>session_summary.preflop_fold_rate</t>
        </is>
      </c>
      <c r="P74" s="10" t="inlineStr">
        <is>
          <t>未执行</t>
        </is>
      </c>
      <c r="Q74" s="10" t="inlineStr"/>
      <c r="R74" s="11" t="inlineStr"/>
    </row>
    <row r="75" ht="72" customHeight="1">
      <c r="A75" s="5" t="inlineStr">
        <is>
          <t>TC-RPT-071</t>
        </is>
      </c>
      <c r="B75" s="5" t="inlineStr">
        <is>
          <t>preflop_fold_rate</t>
        </is>
      </c>
      <c r="C75" s="5" t="inlineStr">
        <is>
          <t>翻前弃牌率</t>
        </is>
      </c>
      <c r="D75" s="13" t="inlineStr">
        <is>
          <t>P1</t>
        </is>
      </c>
      <c r="E75" s="7" t="inlineStr">
        <is>
          <t>边界值分析法</t>
        </is>
      </c>
      <c r="F75" s="7" t="inlineStr">
        <is>
          <t>Session基础</t>
        </is>
      </c>
      <c r="G75" s="7" t="inlineStr">
        <is>
          <t>内部</t>
        </is>
      </c>
      <c r="H75" s="8" t="inlineStr">
        <is>
          <t>Hero 翻前弃牌倾向</t>
        </is>
      </c>
      <c r="I75" s="8" t="inlineStr">
        <is>
          <t>folded_preflop_hands / total_hands</t>
        </is>
      </c>
      <c r="J75" s="8" t="inlineStr">
        <is>
          <t>翻前弃牌率反例-分母为0字段不出现</t>
        </is>
      </c>
      <c r="K75" s="12" t="inlineStr">
        <is>
          <t>反例</t>
        </is>
      </c>
      <c r="L75" s="8" t="inlineStr">
        <is>
          <t>1、已登录，当前用户是 Hero。
2、本场分母次数为 0。「翻前弃牌率」应为空或不出现，不能写成 0% 或 100%。</t>
        </is>
      </c>
      <c r="M75" s="8" t="inlineStr">
        <is>
          <t>1、上传素材，生成复盘报告，等到能打开。
2、打开「翻前弃牌率」，检查是否为空或不出现。</t>
        </is>
      </c>
      <c r="N75" s="8" t="inlineStr">
        <is>
          <t>翻前弃牌率为空或不出现</t>
        </is>
      </c>
      <c r="O75" s="8" t="inlineStr">
        <is>
          <t>session_summary.preflop_fold_rate</t>
        </is>
      </c>
      <c r="P75" s="10" t="inlineStr">
        <is>
          <t>未执行</t>
        </is>
      </c>
      <c r="Q75" s="10" t="inlineStr"/>
      <c r="R75" s="11" t="inlineStr"/>
    </row>
    <row r="76" ht="72" customHeight="1">
      <c r="A76" s="5" t="inlineStr">
        <is>
          <t>TC-RPT-072</t>
        </is>
      </c>
      <c r="B76" s="5" t="inlineStr">
        <is>
          <t>preflop_fold_rate</t>
        </is>
      </c>
      <c r="C76" s="5" t="inlineStr">
        <is>
          <t>翻前弃牌率</t>
        </is>
      </c>
      <c r="D76" s="13" t="inlineStr">
        <is>
          <t>P1</t>
        </is>
      </c>
      <c r="E76" s="7" t="inlineStr">
        <is>
          <t>边界值分析法</t>
        </is>
      </c>
      <c r="F76" s="7" t="inlineStr">
        <is>
          <t>Session基础</t>
        </is>
      </c>
      <c r="G76" s="7" t="inlineStr">
        <is>
          <t>内部</t>
        </is>
      </c>
      <c r="H76" s="8" t="inlineStr">
        <is>
          <t>Hero 翻前弃牌倾向</t>
        </is>
      </c>
      <c r="I76" s="8" t="inlineStr">
        <is>
          <t>folded_preflop_hands / total_hands</t>
        </is>
      </c>
      <c r="J76" s="8" t="inlineStr">
        <is>
          <t>翻前弃牌率正例-单位与换算正确</t>
        </is>
      </c>
      <c r="K76" s="9" t="inlineStr">
        <is>
          <t>正例</t>
        </is>
      </c>
      <c r="L76" s="8" t="inlineStr">
        <is>
          <t>1、已登录，当前用户是 Hero。
2、各手筹码和大盲已记下，按该手换算后「翻前弃牌率」=n</t>
        </is>
      </c>
      <c r="M76" s="8" t="inlineStr">
        <is>
          <t>1、上传素材，生成复盘报告，等到能打开。
2、打开「翻前弃牌率」，检查是否为n。</t>
        </is>
      </c>
      <c r="N76" s="8" t="inlineStr">
        <is>
          <t>翻前弃牌率=n</t>
        </is>
      </c>
      <c r="O76" s="8" t="inlineStr">
        <is>
          <t>session_summary.preflop_fold_rate</t>
        </is>
      </c>
      <c r="P76" s="10" t="inlineStr">
        <is>
          <t>未执行</t>
        </is>
      </c>
      <c r="Q76" s="10" t="inlineStr"/>
      <c r="R76" s="11" t="inlineStr"/>
    </row>
    <row r="77" ht="72" customHeight="1">
      <c r="A77" s="5" t="inlineStr">
        <is>
          <t>TC-RPT-073</t>
        </is>
      </c>
      <c r="B77" s="5" t="inlineStr">
        <is>
          <t>preflop_fold_rate</t>
        </is>
      </c>
      <c r="C77" s="5" t="inlineStr">
        <is>
          <t>翻前弃牌率</t>
        </is>
      </c>
      <c r="D77" s="13" t="inlineStr">
        <is>
          <t>P1</t>
        </is>
      </c>
      <c r="E77" s="7" t="inlineStr">
        <is>
          <t>场景设计法</t>
        </is>
      </c>
      <c r="F77" s="7" t="inlineStr">
        <is>
          <t>Session基础</t>
        </is>
      </c>
      <c r="G77" s="7" t="inlineStr">
        <is>
          <t>内部</t>
        </is>
      </c>
      <c r="H77" s="8" t="inlineStr">
        <is>
          <t>Hero 翻前弃牌倾向</t>
        </is>
      </c>
      <c r="I77" s="8" t="inlineStr">
        <is>
          <t>folded_preflop_hands / total_hands</t>
        </is>
      </c>
      <c r="J77" s="8" t="inlineStr">
        <is>
          <t>翻前弃牌率反例-翻前全下无人跟收池</t>
        </is>
      </c>
      <c r="K77" s="12" t="inlineStr">
        <is>
          <t>反例</t>
        </is>
      </c>
      <c r="L77" s="8" t="inlineStr">
        <is>
          <t>1、已登录，当前用户是 Hero。
2、素材含一手：Hero翻前全下，其余人全弃收池。总手数含它，翻前弃牌分子不含，翻前弃牌率=a/b</t>
        </is>
      </c>
      <c r="M77" s="8" t="inlineStr">
        <is>
          <t>1、上传素材，生成复盘报告，等到能打开。
2、打开「翻前弃牌率」，检查是否为a/b。</t>
        </is>
      </c>
      <c r="N77" s="8" t="inlineStr">
        <is>
          <t>翻前弃牌率=a/b</t>
        </is>
      </c>
      <c r="O77" s="8" t="inlineStr">
        <is>
          <t>session_summary.preflop_fold_rate</t>
        </is>
      </c>
      <c r="P77" s="10" t="inlineStr">
        <is>
          <t>未执行</t>
        </is>
      </c>
      <c r="Q77" s="10" t="inlineStr"/>
      <c r="R77" s="11" t="inlineStr"/>
    </row>
    <row r="78" ht="72" customHeight="1">
      <c r="A78" s="5" t="inlineStr">
        <is>
          <t>TC-RPT-074</t>
        </is>
      </c>
      <c r="B78" s="5" t="inlineStr">
        <is>
          <t>preflop_fold_rate</t>
        </is>
      </c>
      <c r="C78" s="5" t="inlineStr">
        <is>
          <t>翻前弃牌率</t>
        </is>
      </c>
      <c r="D78" s="13" t="inlineStr">
        <is>
          <t>P1</t>
        </is>
      </c>
      <c r="E78" s="7" t="inlineStr">
        <is>
          <t>场景设计法</t>
        </is>
      </c>
      <c r="F78" s="7" t="inlineStr">
        <is>
          <t>Session基础</t>
        </is>
      </c>
      <c r="G78" s="7" t="inlineStr">
        <is>
          <t>内部</t>
        </is>
      </c>
      <c r="H78" s="8" t="inlineStr">
        <is>
          <t>Hero 翻前弃牌倾向</t>
        </is>
      </c>
      <c r="I78" s="8" t="inlineStr">
        <is>
          <t>folded_preflop_hands / total_hands</t>
        </is>
      </c>
      <c r="J78" s="8" t="inlineStr">
        <is>
          <t>翻前弃牌率反例-大盲无人加注过牌看翻牌</t>
        </is>
      </c>
      <c r="K78" s="12" t="inlineStr">
        <is>
          <t>反例</t>
        </is>
      </c>
      <c r="L78" s="8" t="inlineStr">
        <is>
          <t>1、已登录，当前用户是 Hero。
2、素材含一手：Hero坐大盲无人加注过牌看翻牌。总手数含它，翻前弃牌分子不含，翻前弃牌率=a/b</t>
        </is>
      </c>
      <c r="M78" s="8" t="inlineStr">
        <is>
          <t>1、上传素材，生成复盘报告，等到能打开。
2、打开「翻前弃牌率」，检查是否为a/b。</t>
        </is>
      </c>
      <c r="N78" s="8" t="inlineStr">
        <is>
          <t>翻前弃牌率=a/b</t>
        </is>
      </c>
      <c r="O78" s="8" t="inlineStr">
        <is>
          <t>session_summary.preflop_fold_rate</t>
        </is>
      </c>
      <c r="P78" s="10" t="inlineStr">
        <is>
          <t>未执行</t>
        </is>
      </c>
      <c r="Q78" s="10" t="inlineStr"/>
      <c r="R78" s="11" t="inlineStr"/>
    </row>
    <row r="79" ht="72" customHeight="1">
      <c r="A79" s="5" t="inlineStr">
        <is>
          <t>TC-RPT-075</t>
        </is>
      </c>
      <c r="B79" s="5" t="inlineStr">
        <is>
          <t>preflop_fold_rate</t>
        </is>
      </c>
      <c r="C79" s="5" t="inlineStr">
        <is>
          <t>翻前弃牌率</t>
        </is>
      </c>
      <c r="D79" s="13" t="inlineStr">
        <is>
          <t>P1</t>
        </is>
      </c>
      <c r="E79" s="7" t="inlineStr">
        <is>
          <t>场景设计法</t>
        </is>
      </c>
      <c r="F79" s="7" t="inlineStr">
        <is>
          <t>Session基础</t>
        </is>
      </c>
      <c r="G79" s="7" t="inlineStr">
        <is>
          <t>内部</t>
        </is>
      </c>
      <c r="H79" s="8" t="inlineStr">
        <is>
          <t>Hero 翻前弃牌倾向</t>
        </is>
      </c>
      <c r="I79" s="8" t="inlineStr">
        <is>
          <t>folded_preflop_hands / total_hands</t>
        </is>
      </c>
      <c r="J79" s="8" t="inlineStr">
        <is>
          <t>翻前弃牌率反例-翻前跟注或加注翻牌后才弃</t>
        </is>
      </c>
      <c r="K79" s="12" t="inlineStr">
        <is>
          <t>反例</t>
        </is>
      </c>
      <c r="L79" s="8" t="inlineStr">
        <is>
          <t>1、已登录，当前用户是 Hero。
2、素材含一手：只在翻前跟注或加注，翻牌后才弃。总手数含它，翻前弃牌分子不含，翻前弃牌率=a/b</t>
        </is>
      </c>
      <c r="M79" s="8" t="inlineStr">
        <is>
          <t>1、上传素材，生成复盘报告，等到能打开。
2、打开「翻前弃牌率」，检查是否为a/b。</t>
        </is>
      </c>
      <c r="N79" s="8" t="inlineStr">
        <is>
          <t>翻前弃牌率=a/b</t>
        </is>
      </c>
      <c r="O79" s="8" t="inlineStr">
        <is>
          <t>session_summary.preflop_fold_rate</t>
        </is>
      </c>
      <c r="P79" s="10" t="inlineStr">
        <is>
          <t>未执行</t>
        </is>
      </c>
      <c r="Q79" s="10" t="inlineStr"/>
      <c r="R79" s="11" t="inlineStr"/>
    </row>
    <row r="80" ht="72" customHeight="1">
      <c r="A80" s="5" t="inlineStr">
        <is>
          <t>TC-RPT-076</t>
        </is>
      </c>
      <c r="B80" s="5" t="inlineStr">
        <is>
          <t>preflop_fold_rate</t>
        </is>
      </c>
      <c r="C80" s="5" t="inlineStr">
        <is>
          <t>翻前弃牌率</t>
        </is>
      </c>
      <c r="D80" s="13" t="inlineStr">
        <is>
          <t>P1</t>
        </is>
      </c>
      <c r="E80" s="7" t="inlineStr">
        <is>
          <t>场景设计法</t>
        </is>
      </c>
      <c r="F80" s="7" t="inlineStr">
        <is>
          <t>Session基础</t>
        </is>
      </c>
      <c r="G80" s="7" t="inlineStr">
        <is>
          <t>内部</t>
        </is>
      </c>
      <c r="H80" s="8" t="inlineStr">
        <is>
          <t>Hero 翻前弃牌倾向</t>
        </is>
      </c>
      <c r="I80" s="8" t="inlineStr">
        <is>
          <t>folded_preflop_hands / total_hands</t>
        </is>
      </c>
      <c r="J80" s="8" t="inlineStr">
        <is>
          <t>翻前弃牌率反例-翻前全下有人跟仍发公牌</t>
        </is>
      </c>
      <c r="K80" s="12" t="inlineStr">
        <is>
          <t>反例</t>
        </is>
      </c>
      <c r="L80" s="8" t="inlineStr">
        <is>
          <t>1、已登录，当前用户是 Hero。
2、素材含一手：Hero翻前全下有人跟，随后发公牌。总手数含它，翻前弃牌分子不含，翻前弃牌率=a/b</t>
        </is>
      </c>
      <c r="M80" s="8" t="inlineStr">
        <is>
          <t>1、上传素材，生成复盘报告，等到能打开。
2、打开「翻前弃牌率」，检查是否为a/b。</t>
        </is>
      </c>
      <c r="N80" s="8" t="inlineStr">
        <is>
          <t>翻前弃牌率=a/b</t>
        </is>
      </c>
      <c r="O80" s="8" t="inlineStr">
        <is>
          <t>session_summary.preflop_fold_rate</t>
        </is>
      </c>
      <c r="P80" s="10" t="inlineStr">
        <is>
          <t>未执行</t>
        </is>
      </c>
      <c r="Q80" s="10" t="inlineStr"/>
      <c r="R80" s="11" t="inlineStr"/>
    </row>
    <row r="81" ht="72" customHeight="1">
      <c r="A81" s="5" t="inlineStr">
        <is>
          <t>TC-RPT-077</t>
        </is>
      </c>
      <c r="B81" s="5" t="inlineStr">
        <is>
          <t>postflop_entry_rate</t>
        </is>
      </c>
      <c r="C81" s="5" t="inlineStr">
        <is>
          <t>翻后进入率</t>
        </is>
      </c>
      <c r="D81" s="13" t="inlineStr">
        <is>
          <t>P1</t>
        </is>
      </c>
      <c r="E81" s="7" t="inlineStr">
        <is>
          <t>等价类划分法</t>
        </is>
      </c>
      <c r="F81" s="7" t="inlineStr">
        <is>
          <t>Session基础</t>
        </is>
      </c>
      <c r="G81" s="7" t="inlineStr">
        <is>
          <t>内部</t>
        </is>
      </c>
      <c r="H81" s="8" t="inlineStr">
        <is>
          <t>Hero 进入翻后比例</t>
        </is>
      </c>
      <c r="I81" s="8" t="inlineStr">
        <is>
          <t>postflop_hands / total_hands</t>
        </is>
      </c>
      <c r="J81" s="8" t="inlineStr">
        <is>
          <t>翻后进入率正例-进翻后手除以总手数</t>
        </is>
      </c>
      <c r="K81" s="9" t="inlineStr">
        <is>
          <t>正例</t>
        </is>
      </c>
      <c r="L81" s="8" t="inlineStr">
        <is>
          <t>1、已登录，当前用户是 Hero。只用正例场。
2、素材里分子次数=a，分母次数=b，「翻后进入率」应对=a/b</t>
        </is>
      </c>
      <c r="M81" s="8" t="inlineStr">
        <is>
          <t>1、上传素材，生成复盘报告，等到能打开。
2、打开「翻后进入率」，检查是否为a/b。</t>
        </is>
      </c>
      <c r="N81" s="8" t="inlineStr">
        <is>
          <t>翻后进入率=a/b</t>
        </is>
      </c>
      <c r="O81" s="8" t="inlineStr">
        <is>
          <t>session_summary.postflop_entry_rate</t>
        </is>
      </c>
      <c r="P81" s="10" t="inlineStr">
        <is>
          <t>未执行</t>
        </is>
      </c>
      <c r="Q81" s="10" t="inlineStr"/>
      <c r="R81" s="11" t="inlineStr"/>
    </row>
    <row r="82" ht="72" customHeight="1">
      <c r="A82" s="5" t="inlineStr">
        <is>
          <t>TC-RPT-078</t>
        </is>
      </c>
      <c r="B82" s="5" t="inlineStr">
        <is>
          <t>postflop_entry_rate</t>
        </is>
      </c>
      <c r="C82" s="5" t="inlineStr">
        <is>
          <t>翻后进入率</t>
        </is>
      </c>
      <c r="D82" s="13" t="inlineStr">
        <is>
          <t>P1</t>
        </is>
      </c>
      <c r="E82" s="7" t="inlineStr">
        <is>
          <t>等价类划分法</t>
        </is>
      </c>
      <c r="F82" s="7" t="inlineStr">
        <is>
          <t>Session基础</t>
        </is>
      </c>
      <c r="G82" s="7" t="inlineStr">
        <is>
          <t>内部</t>
        </is>
      </c>
      <c r="H82" s="8" t="inlineStr">
        <is>
          <t>Hero 进入翻后比例</t>
        </is>
      </c>
      <c r="I82" s="8" t="inlineStr">
        <is>
          <t>postflop_hands / total_hands</t>
        </is>
      </c>
      <c r="J82" s="8" t="inlineStr">
        <is>
          <t>翻后进入率反例-翻前结束未发翻牌</t>
        </is>
      </c>
      <c r="K82" s="12" t="inlineStr">
        <is>
          <t>反例</t>
        </is>
      </c>
      <c r="L82" s="8" t="inlineStr">
        <is>
          <t>1、已登录，当前用户是 Hero。准备下列不该计入的素材。
2、Hero翻前弃牌，不发翻/转/河。总手数含这一手，进入翻后手数不含，「翻后进入率」仍=a/b</t>
        </is>
      </c>
      <c r="M82" s="8" t="inlineStr">
        <is>
          <t>1、上传素材，生成复盘报告，等到能打开。
2、打开「翻后进入率」，检查是否为a/b。</t>
        </is>
      </c>
      <c r="N82" s="8" t="inlineStr">
        <is>
          <t>翻后进入率=a/b</t>
        </is>
      </c>
      <c r="O82" s="8" t="inlineStr">
        <is>
          <t>session_summary.postflop_entry_rate</t>
        </is>
      </c>
      <c r="P82" s="10" t="inlineStr">
        <is>
          <t>未执行</t>
        </is>
      </c>
      <c r="Q82" s="10" t="inlineStr"/>
      <c r="R82" s="11" t="inlineStr"/>
    </row>
    <row r="83" ht="72" customHeight="1">
      <c r="A83" s="5" t="inlineStr">
        <is>
          <t>TC-RPT-079</t>
        </is>
      </c>
      <c r="B83" s="5" t="inlineStr">
        <is>
          <t>postflop_entry_rate</t>
        </is>
      </c>
      <c r="C83" s="5" t="inlineStr">
        <is>
          <t>翻后进入率</t>
        </is>
      </c>
      <c r="D83" s="13" t="inlineStr">
        <is>
          <t>P1</t>
        </is>
      </c>
      <c r="E83" s="7" t="inlineStr">
        <is>
          <t>因果图法</t>
        </is>
      </c>
      <c r="F83" s="7" t="inlineStr">
        <is>
          <t>Session基础</t>
        </is>
      </c>
      <c r="G83" s="7" t="inlineStr">
        <is>
          <t>内部</t>
        </is>
      </c>
      <c r="H83" s="8" t="inlineStr">
        <is>
          <t>Hero 进入翻后比例</t>
        </is>
      </c>
      <c r="I83" s="8" t="inlineStr">
        <is>
          <t>postflop_hands / total_hands</t>
        </is>
      </c>
      <c r="J83" s="8" t="inlineStr">
        <is>
          <t>翻后进入率正例-翻前结束未发翻牌</t>
        </is>
      </c>
      <c r="K83" s="9" t="inlineStr">
        <is>
          <t>正例</t>
        </is>
      </c>
      <c r="L83" s="8" t="inlineStr">
        <is>
          <t>1、已登录，当前用户是 Hero。
2、用户翻前弃牌，不发翻/转/河。总手数含这一手，进入翻后手数不含这一手
3、手算分子=a、分母=b，「翻后进入率」应为=a/b</t>
        </is>
      </c>
      <c r="M83" s="8" t="inlineStr">
        <is>
          <t>1、上传素材，生成复盘报告，等到能打开。
2、打开「翻后进入率」，检查是否为a/b。</t>
        </is>
      </c>
      <c r="N83" s="8" t="inlineStr">
        <is>
          <t>翻后进入率=a/b</t>
        </is>
      </c>
      <c r="O83" s="8" t="inlineStr">
        <is>
          <t>session_summary.postflop_entry_rate</t>
        </is>
      </c>
      <c r="P83" s="10" t="inlineStr">
        <is>
          <t>未执行</t>
        </is>
      </c>
      <c r="Q83" s="10" t="inlineStr"/>
      <c r="R83" s="11" t="inlineStr"/>
    </row>
    <row r="84" ht="72" customHeight="1">
      <c r="A84" s="5" t="inlineStr">
        <is>
          <t>TC-RPT-080</t>
        </is>
      </c>
      <c r="B84" s="5" t="inlineStr">
        <is>
          <t>postflop_entry_rate</t>
        </is>
      </c>
      <c r="C84" s="5" t="inlineStr">
        <is>
          <t>翻后进入率</t>
        </is>
      </c>
      <c r="D84" s="13" t="inlineStr">
        <is>
          <t>P1</t>
        </is>
      </c>
      <c r="E84" s="7" t="inlineStr">
        <is>
          <t>边界值分析法</t>
        </is>
      </c>
      <c r="F84" s="7" t="inlineStr">
        <is>
          <t>Session基础</t>
        </is>
      </c>
      <c r="G84" s="7" t="inlineStr">
        <is>
          <t>内部</t>
        </is>
      </c>
      <c r="H84" s="8" t="inlineStr">
        <is>
          <t>Hero 进入翻后比例</t>
        </is>
      </c>
      <c r="I84" s="8" t="inlineStr">
        <is>
          <t>postflop_hands / total_hands</t>
        </is>
      </c>
      <c r="J84" s="8" t="inlineStr">
        <is>
          <t>翻后进入率反例-分母为0字段不出现</t>
        </is>
      </c>
      <c r="K84" s="12" t="inlineStr">
        <is>
          <t>反例</t>
        </is>
      </c>
      <c r="L84" s="8" t="inlineStr">
        <is>
          <t>1、已登录，当前用户是 Hero。
2、本场分母次数为 0。「翻后进入率」应为空或不出现，不能写成 0% 或 100%。</t>
        </is>
      </c>
      <c r="M84" s="8" t="inlineStr">
        <is>
          <t>1、上传素材，生成复盘报告，等到能打开。
2、打开「翻后进入率」，检查是否为空或不出现。</t>
        </is>
      </c>
      <c r="N84" s="8" t="inlineStr">
        <is>
          <t>翻后进入率为空或不出现</t>
        </is>
      </c>
      <c r="O84" s="8" t="inlineStr">
        <is>
          <t>session_summary.postflop_entry_rate</t>
        </is>
      </c>
      <c r="P84" s="10" t="inlineStr">
        <is>
          <t>未执行</t>
        </is>
      </c>
      <c r="Q84" s="10" t="inlineStr"/>
      <c r="R84" s="11" t="inlineStr"/>
    </row>
    <row r="85" ht="72" customHeight="1">
      <c r="A85" s="5" t="inlineStr">
        <is>
          <t>TC-RPT-081</t>
        </is>
      </c>
      <c r="B85" s="5" t="inlineStr">
        <is>
          <t>postflop_entry_rate</t>
        </is>
      </c>
      <c r="C85" s="5" t="inlineStr">
        <is>
          <t>翻后进入率</t>
        </is>
      </c>
      <c r="D85" s="13" t="inlineStr">
        <is>
          <t>P1</t>
        </is>
      </c>
      <c r="E85" s="7" t="inlineStr">
        <is>
          <t>边界值分析法</t>
        </is>
      </c>
      <c r="F85" s="7" t="inlineStr">
        <is>
          <t>Session基础</t>
        </is>
      </c>
      <c r="G85" s="7" t="inlineStr">
        <is>
          <t>内部</t>
        </is>
      </c>
      <c r="H85" s="8" t="inlineStr">
        <is>
          <t>Hero 进入翻后比例</t>
        </is>
      </c>
      <c r="I85" s="8" t="inlineStr">
        <is>
          <t>postflop_hands / total_hands</t>
        </is>
      </c>
      <c r="J85" s="8" t="inlineStr">
        <is>
          <t>翻后进入率正例-单位与换算正确</t>
        </is>
      </c>
      <c r="K85" s="9" t="inlineStr">
        <is>
          <t>正例</t>
        </is>
      </c>
      <c r="L85" s="8" t="inlineStr">
        <is>
          <t>1、已登录，当前用户是 Hero。
2、各手筹码和大盲已记下，按该手换算后「翻后进入率」=n</t>
        </is>
      </c>
      <c r="M85" s="8" t="inlineStr">
        <is>
          <t>1、上传素材，生成复盘报告，等到能打开。
2、打开「翻后进入率」，检查是否为n。</t>
        </is>
      </c>
      <c r="N85" s="8" t="inlineStr">
        <is>
          <t>翻后进入率=n</t>
        </is>
      </c>
      <c r="O85" s="8" t="inlineStr">
        <is>
          <t>session_summary.postflop_entry_rate</t>
        </is>
      </c>
      <c r="P85" s="10" t="inlineStr">
        <is>
          <t>未执行</t>
        </is>
      </c>
      <c r="Q85" s="10" t="inlineStr"/>
      <c r="R85" s="11" t="inlineStr"/>
    </row>
    <row r="86" ht="72" customHeight="1">
      <c r="A86" s="5" t="inlineStr">
        <is>
          <t>TC-RPT-082</t>
        </is>
      </c>
      <c r="B86" s="5" t="inlineStr">
        <is>
          <t>postflop_entry_rate</t>
        </is>
      </c>
      <c r="C86" s="5" t="inlineStr">
        <is>
          <t>翻后进入率</t>
        </is>
      </c>
      <c r="D86" s="13" t="inlineStr">
        <is>
          <t>P1</t>
        </is>
      </c>
      <c r="E86" s="7" t="inlineStr">
        <is>
          <t>场景设计法</t>
        </is>
      </c>
      <c r="F86" s="7" t="inlineStr">
        <is>
          <t>Session基础</t>
        </is>
      </c>
      <c r="G86" s="7" t="inlineStr">
        <is>
          <t>内部</t>
        </is>
      </c>
      <c r="H86" s="8" t="inlineStr">
        <is>
          <t>Hero 进入翻后比例</t>
        </is>
      </c>
      <c r="I86" s="8" t="inlineStr">
        <is>
          <t>postflop_hands / total_hands</t>
        </is>
      </c>
      <c r="J86" s="8" t="inlineStr">
        <is>
          <t>翻后进入率反例-翻前全下无人跟不发翻牌</t>
        </is>
      </c>
      <c r="K86" s="12" t="inlineStr">
        <is>
          <t>反例</t>
        </is>
      </c>
      <c r="L86" s="8" t="inlineStr">
        <is>
          <t>1、已登录，当前用户是 Hero。
2、素材含一手：Hero翻前全下，其余人全弃收池。总手数含它，进入翻后分子不含，翻后进入率=a/b</t>
        </is>
      </c>
      <c r="M86" s="8" t="inlineStr">
        <is>
          <t>1、上传素材，生成复盘报告，等到能打开。
2、打开「翻后进入率」，检查是否为a/b。</t>
        </is>
      </c>
      <c r="N86" s="8" t="inlineStr">
        <is>
          <t>翻后进入率=a/b</t>
        </is>
      </c>
      <c r="O86" s="8" t="inlineStr">
        <is>
          <t>session_summary.postflop_entry_rate</t>
        </is>
      </c>
      <c r="P86" s="10" t="inlineStr">
        <is>
          <t>未执行</t>
        </is>
      </c>
      <c r="Q86" s="10" t="inlineStr"/>
      <c r="R86" s="11" t="inlineStr"/>
    </row>
    <row r="87" ht="72" customHeight="1">
      <c r="A87" s="5" t="inlineStr">
        <is>
          <t>TC-RPT-083</t>
        </is>
      </c>
      <c r="B87" s="5" t="inlineStr">
        <is>
          <t>showdown_rate</t>
        </is>
      </c>
      <c r="C87" s="5" t="inlineStr">
        <is>
          <t>摊牌率</t>
        </is>
      </c>
      <c r="D87" s="13" t="inlineStr">
        <is>
          <t>P1</t>
        </is>
      </c>
      <c r="E87" s="7" t="inlineStr">
        <is>
          <t>等价类划分法</t>
        </is>
      </c>
      <c r="F87" s="7" t="inlineStr">
        <is>
          <t>Session基础</t>
        </is>
      </c>
      <c r="G87" s="7" t="inlineStr">
        <is>
          <t>内部</t>
        </is>
      </c>
      <c r="H87" s="8" t="inlineStr">
        <is>
          <t>Hero 参与牌局进入摊牌的比例</t>
        </is>
      </c>
      <c r="I87" s="8" t="inlineStr">
        <is>
          <t>showdown_hands / hands_played</t>
        </is>
      </c>
      <c r="J87" s="8" t="inlineStr">
        <is>
          <t>摊牌率正例-摊牌手除以参与手数</t>
        </is>
      </c>
      <c r="K87" s="9" t="inlineStr">
        <is>
          <t>正例</t>
        </is>
      </c>
      <c r="L87" s="8" t="inlineStr">
        <is>
          <t>1、已登录，当前用户是 Hero。只用正例场。
2、素材里分子次数=a，分母次数=b，「摊牌率」应对=a/b</t>
        </is>
      </c>
      <c r="M87" s="8" t="inlineStr">
        <is>
          <t>1、上传素材，生成复盘报告，等到能打开。
2、打开「摊牌率」，检查是否为a/b。</t>
        </is>
      </c>
      <c r="N87" s="8" t="inlineStr">
        <is>
          <t>摊牌率=a/b</t>
        </is>
      </c>
      <c r="O87" s="8" t="inlineStr">
        <is>
          <t>session_summary.showdown_rate</t>
        </is>
      </c>
      <c r="P87" s="10" t="inlineStr">
        <is>
          <t>未执行</t>
        </is>
      </c>
      <c r="Q87" s="10" t="inlineStr"/>
      <c r="R87" s="11" t="inlineStr"/>
    </row>
    <row r="88" ht="72" customHeight="1">
      <c r="A88" s="5" t="inlineStr">
        <is>
          <t>TC-RPT-084</t>
        </is>
      </c>
      <c r="B88" s="5" t="inlineStr">
        <is>
          <t>showdown_rate</t>
        </is>
      </c>
      <c r="C88" s="5" t="inlineStr">
        <is>
          <t>摊牌率</t>
        </is>
      </c>
      <c r="D88" s="13" t="inlineStr">
        <is>
          <t>P1</t>
        </is>
      </c>
      <c r="E88" s="7" t="inlineStr">
        <is>
          <t>边界值分析法</t>
        </is>
      </c>
      <c r="F88" s="7" t="inlineStr">
        <is>
          <t>Session基础</t>
        </is>
      </c>
      <c r="G88" s="7" t="inlineStr">
        <is>
          <t>内部</t>
        </is>
      </c>
      <c r="H88" s="8" t="inlineStr">
        <is>
          <t>Hero 参与牌局进入摊牌的比例</t>
        </is>
      </c>
      <c r="I88" s="8" t="inlineStr">
        <is>
          <t>showdown_hands / hands_played</t>
        </is>
      </c>
      <c r="J88" s="8" t="inlineStr">
        <is>
          <t>摊牌率反例-分母为0字段不出现</t>
        </is>
      </c>
      <c r="K88" s="12" t="inlineStr">
        <is>
          <t>反例</t>
        </is>
      </c>
      <c r="L88" s="8" t="inlineStr">
        <is>
          <t>1、已登录，当前用户是 Hero。
2、本场分母次数为 0。「摊牌率」应为空或不出现，不能写成 0% 或 100%。</t>
        </is>
      </c>
      <c r="M88" s="8" t="inlineStr">
        <is>
          <t>1、上传素材，生成复盘报告，等到能打开。
2、打开「摊牌率」，检查是否为空或不出现。</t>
        </is>
      </c>
      <c r="N88" s="8" t="inlineStr">
        <is>
          <t>摊牌率为空或不出现</t>
        </is>
      </c>
      <c r="O88" s="8" t="inlineStr">
        <is>
          <t>session_summary.showdown_rate</t>
        </is>
      </c>
      <c r="P88" s="10" t="inlineStr">
        <is>
          <t>未执行</t>
        </is>
      </c>
      <c r="Q88" s="10" t="inlineStr"/>
      <c r="R88" s="11" t="inlineStr"/>
    </row>
    <row r="89" ht="72" customHeight="1">
      <c r="A89" s="5" t="inlineStr">
        <is>
          <t>TC-RPT-085</t>
        </is>
      </c>
      <c r="B89" s="5" t="inlineStr">
        <is>
          <t>showdown_rate</t>
        </is>
      </c>
      <c r="C89" s="5" t="inlineStr">
        <is>
          <t>摊牌率</t>
        </is>
      </c>
      <c r="D89" s="13" t="inlineStr">
        <is>
          <t>P1</t>
        </is>
      </c>
      <c r="E89" s="7" t="inlineStr">
        <is>
          <t>边界值分析法</t>
        </is>
      </c>
      <c r="F89" s="7" t="inlineStr">
        <is>
          <t>Session基础</t>
        </is>
      </c>
      <c r="G89" s="7" t="inlineStr">
        <is>
          <t>内部</t>
        </is>
      </c>
      <c r="H89" s="8" t="inlineStr">
        <is>
          <t>Hero 参与牌局进入摊牌的比例</t>
        </is>
      </c>
      <c r="I89" s="8" t="inlineStr">
        <is>
          <t>showdown_hands / hands_played</t>
        </is>
      </c>
      <c r="J89" s="8" t="inlineStr">
        <is>
          <t>摊牌率正例-单位与换算正确</t>
        </is>
      </c>
      <c r="K89" s="9" t="inlineStr">
        <is>
          <t>正例</t>
        </is>
      </c>
      <c r="L89" s="8" t="inlineStr">
        <is>
          <t>1、已登录，当前用户是 Hero。
2、各手筹码和大盲已记下，按该手换算后「摊牌率」=n</t>
        </is>
      </c>
      <c r="M89" s="8" t="inlineStr">
        <is>
          <t>1、上传素材，生成复盘报告，等到能打开。
2、打开「摊牌率」，检查是否为n。</t>
        </is>
      </c>
      <c r="N89" s="8" t="inlineStr">
        <is>
          <t>摊牌率=n</t>
        </is>
      </c>
      <c r="O89" s="8" t="inlineStr">
        <is>
          <t>session_summary.showdown_rate</t>
        </is>
      </c>
      <c r="P89" s="10" t="inlineStr">
        <is>
          <t>未执行</t>
        </is>
      </c>
      <c r="Q89" s="10" t="inlineStr"/>
      <c r="R89" s="11" t="inlineStr"/>
    </row>
    <row r="90" ht="72" customHeight="1">
      <c r="A90" s="5" t="inlineStr">
        <is>
          <t>TC-RPT-086</t>
        </is>
      </c>
      <c r="B90" s="5" t="inlineStr">
        <is>
          <t>showdown_rate</t>
        </is>
      </c>
      <c r="C90" s="5" t="inlineStr">
        <is>
          <t>摊牌率</t>
        </is>
      </c>
      <c r="D90" s="13" t="inlineStr">
        <is>
          <t>P1</t>
        </is>
      </c>
      <c r="E90" s="7" t="inlineStr">
        <is>
          <t>场景设计法</t>
        </is>
      </c>
      <c r="F90" s="7" t="inlineStr">
        <is>
          <t>Session基础</t>
        </is>
      </c>
      <c r="G90" s="7" t="inlineStr">
        <is>
          <t>内部</t>
        </is>
      </c>
      <c r="H90" s="8" t="inlineStr">
        <is>
          <t>Hero 参与牌局进入摊牌的比例</t>
        </is>
      </c>
      <c r="I90" s="8" t="inlineStr">
        <is>
          <t>showdown_hands / hands_played</t>
        </is>
      </c>
      <c r="J90" s="8" t="inlineStr">
        <is>
          <t>摊牌率正例-含翻前翻牌转牌河牌亮牌不只河牌</t>
        </is>
      </c>
      <c r="K90" s="9" t="inlineStr">
        <is>
          <t>正例</t>
        </is>
      </c>
      <c r="L90" s="8" t="inlineStr">
        <is>
          <t>1、已登录，当前用户是 Hero。
2、素材里摊牌手数=a（含翻前/翻/转有人跟后亮牌，以及河牌亮牌），参与手数=b，「摊牌率」应对=a/b</t>
        </is>
      </c>
      <c r="M90" s="8" t="inlineStr">
        <is>
          <t>1、上传素材，生成复盘报告，等到能打开。
2、打开「摊牌率」，检查是否为a/b。</t>
        </is>
      </c>
      <c r="N90" s="8" t="inlineStr">
        <is>
          <t>摊牌率=a/b</t>
        </is>
      </c>
      <c r="O90" s="8" t="inlineStr">
        <is>
          <t>session_summary.showdown_rate</t>
        </is>
      </c>
      <c r="P90" s="10" t="inlineStr">
        <is>
          <t>未执行</t>
        </is>
      </c>
      <c r="Q90" s="10" t="inlineStr"/>
      <c r="R90" s="11" t="inlineStr"/>
    </row>
    <row r="91" ht="72" customHeight="1">
      <c r="A91" s="5" t="inlineStr">
        <is>
          <t>TC-RPT-087</t>
        </is>
      </c>
      <c r="B91" s="5" t="inlineStr">
        <is>
          <t>showdown_rate</t>
        </is>
      </c>
      <c r="C91" s="5" t="inlineStr">
        <is>
          <t>摊牌率</t>
        </is>
      </c>
      <c r="D91" s="13" t="inlineStr">
        <is>
          <t>P1</t>
        </is>
      </c>
      <c r="E91" s="7" t="inlineStr">
        <is>
          <t>场景设计法</t>
        </is>
      </c>
      <c r="F91" s="7" t="inlineStr">
        <is>
          <t>Session基础</t>
        </is>
      </c>
      <c r="G91" s="7" t="inlineStr">
        <is>
          <t>内部</t>
        </is>
      </c>
      <c r="H91" s="8" t="inlineStr">
        <is>
          <t>Hero 参与牌局进入摊牌的比例</t>
        </is>
      </c>
      <c r="I91" s="8" t="inlineStr">
        <is>
          <t>showdown_hands / hands_played</t>
        </is>
      </c>
      <c r="J91" s="8" t="inlineStr">
        <is>
          <t>摊牌率反例-翻前全下无人跟未亮牌</t>
        </is>
      </c>
      <c r="K91" s="12" t="inlineStr">
        <is>
          <t>反例</t>
        </is>
      </c>
      <c r="L91" s="8" t="inlineStr">
        <is>
          <t>1、已登录，当前用户是 Hero。
2、素材含一手：Hero翻前全下，其余人全弃，不发翻/转/河，翻前收池未亮。摊牌率分子不含它，仍=a/b</t>
        </is>
      </c>
      <c r="M91" s="8" t="inlineStr">
        <is>
          <t>1、上传素材，生成复盘报告，等到能打开。
2、打开「摊牌率」，检查是否为a/b。</t>
        </is>
      </c>
      <c r="N91" s="8" t="inlineStr">
        <is>
          <t>摊牌率=a/b</t>
        </is>
      </c>
      <c r="O91" s="8" t="inlineStr">
        <is>
          <t>session_summary.showdown_rate</t>
        </is>
      </c>
      <c r="P91" s="10" t="inlineStr">
        <is>
          <t>未执行</t>
        </is>
      </c>
      <c r="Q91" s="10" t="inlineStr"/>
      <c r="R91" s="11" t="inlineStr"/>
    </row>
    <row r="92" ht="72" customHeight="1">
      <c r="A92" s="5" t="inlineStr">
        <is>
          <t>TC-RPT-088</t>
        </is>
      </c>
      <c r="B92" s="5" t="inlineStr">
        <is>
          <t>total_profit_chips</t>
        </is>
      </c>
      <c r="C92" s="5" t="inlineStr">
        <is>
          <t>本场总盈亏（筹码）</t>
        </is>
      </c>
      <c r="D92" s="6" t="inlineStr">
        <is>
          <t>P0</t>
        </is>
      </c>
      <c r="E92" s="7" t="inlineStr">
        <is>
          <t>等价类划分法</t>
        </is>
      </c>
      <c r="F92" s="7" t="inlineStr">
        <is>
          <t>盈亏EV</t>
        </is>
      </c>
      <c r="G92" s="7" t="inlineStr">
        <is>
          <t>是</t>
        </is>
      </c>
      <c r="H92" s="8" t="inlineStr">
        <is>
          <t>整场 Hero 筹码净变化</t>
        </is>
      </c>
      <c r="I92" s="8" t="inlineStr">
        <is>
          <t>汇总 per_hand_profit</t>
        </is>
      </c>
      <c r="J92" s="8" t="inlineStr">
        <is>
          <t>本场总盈亏（筹码）正例-各手筹码盈亏加总</t>
        </is>
      </c>
      <c r="K92" s="9" t="inlineStr">
        <is>
          <t>正例</t>
        </is>
      </c>
      <c r="L92" s="8" t="inlineStr">
        <is>
          <t>1、已登录，当前用户是 Hero。只用正例场。
2、素材里按口径手算「本场总盈亏（筹码）」=n</t>
        </is>
      </c>
      <c r="M92" s="8" t="inlineStr">
        <is>
          <t>1、上传素材，生成复盘报告，等到能打开。
2、打开「本场总盈亏（筹码）」，检查是否为n。</t>
        </is>
      </c>
      <c r="N92" s="8" t="inlineStr">
        <is>
          <t>本场总盈亏（筹码）=n</t>
        </is>
      </c>
      <c r="O92" s="8" t="inlineStr">
        <is>
          <t>profit_ev_summary.total_profit_chips</t>
        </is>
      </c>
      <c r="P92" s="10" t="inlineStr">
        <is>
          <t>未执行</t>
        </is>
      </c>
      <c r="Q92" s="10" t="inlineStr"/>
      <c r="R92" s="11" t="inlineStr"/>
    </row>
    <row r="93" ht="72" customHeight="1">
      <c r="A93" s="5" t="inlineStr">
        <is>
          <t>TC-RPT-089</t>
        </is>
      </c>
      <c r="B93" s="5" t="inlineStr">
        <is>
          <t>total_profit_chips</t>
        </is>
      </c>
      <c r="C93" s="5" t="inlineStr">
        <is>
          <t>本场总盈亏（筹码）</t>
        </is>
      </c>
      <c r="D93" s="6" t="inlineStr">
        <is>
          <t>P0</t>
        </is>
      </c>
      <c r="E93" s="7" t="inlineStr">
        <is>
          <t>边界值分析法</t>
        </is>
      </c>
      <c r="F93" s="7" t="inlineStr">
        <is>
          <t>盈亏EV</t>
        </is>
      </c>
      <c r="G93" s="7" t="inlineStr">
        <is>
          <t>是</t>
        </is>
      </c>
      <c r="H93" s="8" t="inlineStr">
        <is>
          <t>整场 Hero 筹码净变化</t>
        </is>
      </c>
      <c r="I93" s="8" t="inlineStr">
        <is>
          <t>汇总 per_hand_profit</t>
        </is>
      </c>
      <c r="J93" s="8" t="inlineStr">
        <is>
          <t>本场总盈亏（筹码）正例-单位与换算正确</t>
        </is>
      </c>
      <c r="K93" s="9" t="inlineStr">
        <is>
          <t>正例</t>
        </is>
      </c>
      <c r="L93" s="8" t="inlineStr">
        <is>
          <t>1、已登录，当前用户是 Hero。
2、各手筹码和大盲已记下，按该手换算后「本场总盈亏（筹码）」=n</t>
        </is>
      </c>
      <c r="M93" s="8" t="inlineStr">
        <is>
          <t>1、上传素材，生成复盘报告，等到能打开。
2、打开「本场总盈亏（筹码）」，检查是否为n。</t>
        </is>
      </c>
      <c r="N93" s="8" t="inlineStr">
        <is>
          <t>本场总盈亏（筹码）=n</t>
        </is>
      </c>
      <c r="O93" s="8" t="inlineStr">
        <is>
          <t>profit_ev_summary.total_profit_chips</t>
        </is>
      </c>
      <c r="P93" s="10" t="inlineStr">
        <is>
          <t>未执行</t>
        </is>
      </c>
      <c r="Q93" s="10" t="inlineStr"/>
      <c r="R93" s="11" t="inlineStr"/>
    </row>
    <row r="94" ht="72" customHeight="1">
      <c r="A94" s="5" t="inlineStr">
        <is>
          <t>TC-RPT-090</t>
        </is>
      </c>
      <c r="B94" s="5" t="inlineStr">
        <is>
          <t>total_profit_chips</t>
        </is>
      </c>
      <c r="C94" s="5" t="inlineStr">
        <is>
          <t>本场总盈亏（筹码）</t>
        </is>
      </c>
      <c r="D94" s="6" t="inlineStr">
        <is>
          <t>P0</t>
        </is>
      </c>
      <c r="E94" s="7" t="inlineStr">
        <is>
          <t>错误推断法</t>
        </is>
      </c>
      <c r="F94" s="7" t="inlineStr">
        <is>
          <t>盈亏EV</t>
        </is>
      </c>
      <c r="G94" s="7" t="inlineStr">
        <is>
          <t>是</t>
        </is>
      </c>
      <c r="H94" s="8" t="inlineStr">
        <is>
          <t>整场 Hero 筹码净变化</t>
        </is>
      </c>
      <c r="I94" s="8" t="inlineStr">
        <is>
          <t>汇总 per_hand_profit</t>
        </is>
      </c>
      <c r="J94" s="8" t="inlineStr">
        <is>
          <t>本场总盈亏（筹码）反例-源数据缺失不得编造</t>
        </is>
      </c>
      <c r="K94" s="12" t="inlineStr">
        <is>
          <t>反例</t>
        </is>
      </c>
      <c r="L94" s="8" t="inlineStr">
        <is>
          <t>1、已登录。本条只跑缺失场。
2、本场缺少「本场总盈亏（筹码）」源数据。没有每手结算、也没有可信整场盈亏。</t>
        </is>
      </c>
      <c r="M94" s="8" t="inlineStr">
        <is>
          <t>1、上传素材，生成复盘报告，等到能打开。
2、打开「本场总盈亏（筹码）」，检查是否为空或不出现。</t>
        </is>
      </c>
      <c r="N94" s="8" t="inlineStr">
        <is>
          <t>本场总盈亏（筹码）为空或不出现</t>
        </is>
      </c>
      <c r="O94" s="8" t="inlineStr">
        <is>
          <t>profit_ev_summary.total_profit_chips</t>
        </is>
      </c>
      <c r="P94" s="10" t="inlineStr">
        <is>
          <t>未执行</t>
        </is>
      </c>
      <c r="Q94" s="10" t="inlineStr"/>
      <c r="R94" s="11" t="inlineStr"/>
    </row>
    <row r="95" ht="72" customHeight="1">
      <c r="A95" s="5" t="inlineStr">
        <is>
          <t>TC-RPT-091</t>
        </is>
      </c>
      <c r="B95" s="5" t="inlineStr">
        <is>
          <t>total_profit_chips</t>
        </is>
      </c>
      <c r="C95" s="5" t="inlineStr">
        <is>
          <t>本场总盈亏（筹码）</t>
        </is>
      </c>
      <c r="D95" s="6" t="inlineStr">
        <is>
          <t>P0</t>
        </is>
      </c>
      <c r="E95" s="7" t="inlineStr">
        <is>
          <t>场景设计法</t>
        </is>
      </c>
      <c r="F95" s="7" t="inlineStr">
        <is>
          <t>盈亏EV</t>
        </is>
      </c>
      <c r="G95" s="7" t="inlineStr">
        <is>
          <t>是</t>
        </is>
      </c>
      <c r="H95" s="8" t="inlineStr">
        <is>
          <t>整场 Hero 筹码净变化</t>
        </is>
      </c>
      <c r="I95" s="8" t="inlineStr">
        <is>
          <t>汇总 per_hand_profit</t>
        </is>
      </c>
      <c r="J95" s="8" t="inlineStr">
        <is>
          <t>本场总盈亏正例-含中途补码仍按各手盈亏加总</t>
        </is>
      </c>
      <c r="K95" s="9" t="inlineStr">
        <is>
          <t>正例</t>
        </is>
      </c>
      <c r="L95" s="8" t="inlineStr">
        <is>
          <t>1、已登录，当前用户是 Hero。
2、场次中Hero中途补码，但各手单手盈亏已按手结算。本场总盈亏=各手盈亏之和</t>
        </is>
      </c>
      <c r="M95" s="8" t="inlineStr">
        <is>
          <t>1、上传素材，生成复盘报告，等到能打开。
2、打开「本场总盈亏（筹码）」，检查是否为各手之和。</t>
        </is>
      </c>
      <c r="N95" s="8" t="inlineStr">
        <is>
          <t>本场总盈亏（筹码）=各手之和</t>
        </is>
      </c>
      <c r="O95" s="8" t="inlineStr">
        <is>
          <t>profit_ev_summary.total_profit_chips</t>
        </is>
      </c>
      <c r="P95" s="10" t="inlineStr">
        <is>
          <t>未执行</t>
        </is>
      </c>
      <c r="Q95" s="10" t="inlineStr"/>
      <c r="R95" s="11" t="inlineStr"/>
    </row>
    <row r="96" ht="72" customHeight="1">
      <c r="A96" s="5" t="inlineStr">
        <is>
          <t>TC-RPT-092</t>
        </is>
      </c>
      <c r="B96" s="5" t="inlineStr">
        <is>
          <t>total_profit_chips</t>
        </is>
      </c>
      <c r="C96" s="5" t="inlineStr">
        <is>
          <t>本场总盈亏（筹码）</t>
        </is>
      </c>
      <c r="D96" s="6" t="inlineStr">
        <is>
          <t>P0</t>
        </is>
      </c>
      <c r="E96" s="7" t="inlineStr">
        <is>
          <t>场景设计法</t>
        </is>
      </c>
      <c r="F96" s="7" t="inlineStr">
        <is>
          <t>盈亏EV</t>
        </is>
      </c>
      <c r="G96" s="7" t="inlineStr">
        <is>
          <t>是</t>
        </is>
      </c>
      <c r="H96" s="8" t="inlineStr">
        <is>
          <t>整场 Hero 筹码净变化</t>
        </is>
      </c>
      <c r="I96" s="8" t="inlineStr">
        <is>
          <t>汇总 per_hand_profit</t>
        </is>
      </c>
      <c r="J96" s="8" t="inlineStr">
        <is>
          <t>本场总盈亏反例-不支持切换筹码单位</t>
        </is>
      </c>
      <c r="K96" s="12" t="inlineStr">
        <is>
          <t>反例</t>
        </is>
      </c>
      <c r="L96" s="8" t="inlineStr">
        <is>
          <t>1、已登录，当前用户是 Hero。
2、录屏中切换筹码显示单位，系统无法支持。本场总盈亏不应编造或混单位</t>
        </is>
      </c>
      <c r="M96" s="8" t="inlineStr">
        <is>
          <t>1、上传素材，生成复盘报告，等到能打开。
2、打开「本场总盈亏（筹码）」，检查是否为空或不支持。</t>
        </is>
      </c>
      <c r="N96" s="8" t="inlineStr">
        <is>
          <t>本场总盈亏（筹码）=空或不支持</t>
        </is>
      </c>
      <c r="O96" s="8" t="inlineStr">
        <is>
          <t>profit_ev_summary.total_profit_chips</t>
        </is>
      </c>
      <c r="P96" s="10" t="inlineStr">
        <is>
          <t>未执行</t>
        </is>
      </c>
      <c r="Q96" s="10" t="inlineStr"/>
      <c r="R96" s="11" t="inlineStr"/>
    </row>
    <row r="97" ht="72" customHeight="1">
      <c r="A97" s="5" t="inlineStr">
        <is>
          <t>TC-RPT-093</t>
        </is>
      </c>
      <c r="B97" s="5" t="inlineStr">
        <is>
          <t>total_profit_bb</t>
        </is>
      </c>
      <c r="C97" s="5" t="inlineStr">
        <is>
          <t>本场总盈亏（BB）</t>
        </is>
      </c>
      <c r="D97" s="6" t="inlineStr">
        <is>
          <t>P0</t>
        </is>
      </c>
      <c r="E97" s="7" t="inlineStr">
        <is>
          <t>等价类划分法</t>
        </is>
      </c>
      <c r="F97" s="7" t="inlineStr">
        <is>
          <t>盈亏EV</t>
        </is>
      </c>
      <c r="G97" s="7" t="inlineStr">
        <is>
          <t>是</t>
        </is>
      </c>
      <c r="H97" s="8" t="inlineStr">
        <is>
          <t>整场 Hero 以 BB 计的净盈亏</t>
        </is>
      </c>
      <c r="I97" s="8" t="inlineStr">
        <is>
          <t>total_profit_chips / 当前大盲；或直接取技术侧 BB 盈亏字段</t>
        </is>
      </c>
      <c r="J97" s="8" t="inlineStr">
        <is>
          <t>本场总盈亏（BB）正例-各手按该手大盲换算BB加总</t>
        </is>
      </c>
      <c r="K97" s="9" t="inlineStr">
        <is>
          <t>正例</t>
        </is>
      </c>
      <c r="L97" s="8" t="inlineStr">
        <is>
          <t>1、已登录，当前用户是 Hero。只用正例场。
2、素材里按口径手算「本场总盈亏（BB）」=n</t>
        </is>
      </c>
      <c r="M97" s="8" t="inlineStr">
        <is>
          <t>1、上传素材，生成复盘报告，等到能打开。
2、打开「本场总盈亏（BB）」，检查是否为n。</t>
        </is>
      </c>
      <c r="N97" s="8" t="inlineStr">
        <is>
          <t>本场总盈亏（BB）=n</t>
        </is>
      </c>
      <c r="O97" s="8" t="inlineStr">
        <is>
          <t>profit_ev_summary.total_profit_bb</t>
        </is>
      </c>
      <c r="P97" s="10" t="inlineStr">
        <is>
          <t>未执行</t>
        </is>
      </c>
      <c r="Q97" s="10" t="inlineStr"/>
      <c r="R97" s="11" t="inlineStr"/>
    </row>
    <row r="98" ht="72" customHeight="1">
      <c r="A98" s="5" t="inlineStr">
        <is>
          <t>TC-RPT-094</t>
        </is>
      </c>
      <c r="B98" s="5" t="inlineStr">
        <is>
          <t>total_profit_bb</t>
        </is>
      </c>
      <c r="C98" s="5" t="inlineStr">
        <is>
          <t>本场总盈亏（BB）</t>
        </is>
      </c>
      <c r="D98" s="6" t="inlineStr">
        <is>
          <t>P0</t>
        </is>
      </c>
      <c r="E98" s="7" t="inlineStr">
        <is>
          <t>边界值分析法</t>
        </is>
      </c>
      <c r="F98" s="7" t="inlineStr">
        <is>
          <t>盈亏EV</t>
        </is>
      </c>
      <c r="G98" s="7" t="inlineStr">
        <is>
          <t>是</t>
        </is>
      </c>
      <c r="H98" s="8" t="inlineStr">
        <is>
          <t>整场 Hero 以 BB 计的净盈亏</t>
        </is>
      </c>
      <c r="I98" s="8" t="inlineStr">
        <is>
          <t>total_profit_chips / 当前大盲；或直接取技术侧 BB 盈亏字段</t>
        </is>
      </c>
      <c r="J98" s="8" t="inlineStr">
        <is>
          <t>本场总盈亏（BB）正例-单位与换算正确</t>
        </is>
      </c>
      <c r="K98" s="9" t="inlineStr">
        <is>
          <t>正例</t>
        </is>
      </c>
      <c r="L98" s="8" t="inlineStr">
        <is>
          <t>1、已登录，当前用户是 Hero。
2、各手筹码和大盲已记下，按该手换算后「本场总盈亏（BB）」=n</t>
        </is>
      </c>
      <c r="M98" s="8" t="inlineStr">
        <is>
          <t>1、上传素材，生成复盘报告，等到能打开。
2、打开「本场总盈亏（BB）」，检查是否为n。</t>
        </is>
      </c>
      <c r="N98" s="8" t="inlineStr">
        <is>
          <t>本场总盈亏（BB）=n</t>
        </is>
      </c>
      <c r="O98" s="8" t="inlineStr">
        <is>
          <t>profit_ev_summary.total_profit_bb</t>
        </is>
      </c>
      <c r="P98" s="10" t="inlineStr">
        <is>
          <t>未执行</t>
        </is>
      </c>
      <c r="Q98" s="10" t="inlineStr"/>
      <c r="R98" s="11" t="inlineStr"/>
    </row>
    <row r="99" ht="72" customHeight="1">
      <c r="A99" s="5" t="inlineStr">
        <is>
          <t>TC-RPT-095</t>
        </is>
      </c>
      <c r="B99" s="5" t="inlineStr">
        <is>
          <t>hand_profit_chips</t>
        </is>
      </c>
      <c r="C99" s="5" t="inlineStr">
        <is>
          <t>单手盈亏（筹码）</t>
        </is>
      </c>
      <c r="D99" s="6" t="inlineStr">
        <is>
          <t>P0</t>
        </is>
      </c>
      <c r="E99" s="7" t="inlineStr">
        <is>
          <t>等价类划分法</t>
        </is>
      </c>
      <c r="F99" s="7" t="inlineStr">
        <is>
          <t>盈亏EV</t>
        </is>
      </c>
      <c r="G99" s="7" t="inlineStr">
        <is>
          <t>内部</t>
        </is>
      </c>
      <c r="H99" s="8" t="inlineStr">
        <is>
          <t>每手牌 Hero 筹码净变化</t>
        </is>
      </c>
      <c r="I99" s="8" t="inlineStr">
        <is>
          <t>每手牌结束后的 Hero stack 差值，或结算字段</t>
        </is>
      </c>
      <c r="J99" s="8" t="inlineStr">
        <is>
          <t>单手盈亏（筹码）正例-单手结算筹码净变化</t>
        </is>
      </c>
      <c r="K99" s="9" t="inlineStr">
        <is>
          <t>正例</t>
        </is>
      </c>
      <c r="L99" s="8" t="inlineStr">
        <is>
          <t>1、已登录，当前用户是 Hero。只用正例场。
2、素材里按口径手算「单手盈亏（筹码）」=n</t>
        </is>
      </c>
      <c r="M99" s="8" t="inlineStr">
        <is>
          <t>1、上传素材，生成复盘报告，等到能打开。
2、打开「单手盈亏（筹码）」，检查是否为n。</t>
        </is>
      </c>
      <c r="N99" s="8" t="inlineStr">
        <is>
          <t>单手盈亏（筹码）=n</t>
        </is>
      </c>
      <c r="O99" s="8" t="inlineStr">
        <is>
          <t>profit_ev_summary.hand_profit_chips</t>
        </is>
      </c>
      <c r="P99" s="10" t="inlineStr">
        <is>
          <t>未执行</t>
        </is>
      </c>
      <c r="Q99" s="10" t="inlineStr"/>
      <c r="R99" s="11" t="inlineStr"/>
    </row>
    <row r="100" ht="72" customHeight="1">
      <c r="A100" s="5" t="inlineStr">
        <is>
          <t>TC-RPT-096</t>
        </is>
      </c>
      <c r="B100" s="5" t="inlineStr">
        <is>
          <t>hand_profit_chips</t>
        </is>
      </c>
      <c r="C100" s="5" t="inlineStr">
        <is>
          <t>单手盈亏（筹码）</t>
        </is>
      </c>
      <c r="D100" s="6" t="inlineStr">
        <is>
          <t>P0</t>
        </is>
      </c>
      <c r="E100" s="7" t="inlineStr">
        <is>
          <t>边界值分析法</t>
        </is>
      </c>
      <c r="F100" s="7" t="inlineStr">
        <is>
          <t>盈亏EV</t>
        </is>
      </c>
      <c r="G100" s="7" t="inlineStr">
        <is>
          <t>内部</t>
        </is>
      </c>
      <c r="H100" s="8" t="inlineStr">
        <is>
          <t>每手牌 Hero 筹码净变化</t>
        </is>
      </c>
      <c r="I100" s="8" t="inlineStr">
        <is>
          <t>每手牌结束后的 Hero stack 差值，或结算字段</t>
        </is>
      </c>
      <c r="J100" s="8" t="inlineStr">
        <is>
          <t>单手盈亏（筹码）正例-单位与换算正确</t>
        </is>
      </c>
      <c r="K100" s="9" t="inlineStr">
        <is>
          <t>正例</t>
        </is>
      </c>
      <c r="L100" s="8" t="inlineStr">
        <is>
          <t>1、已登录，当前用户是 Hero。
2、各手筹码和大盲已记下，按该手换算后「单手盈亏（筹码）」=n</t>
        </is>
      </c>
      <c r="M100" s="8" t="inlineStr">
        <is>
          <t>1、上传素材，生成复盘报告，等到能打开。
2、打开「单手盈亏（筹码）」，检查是否为n。</t>
        </is>
      </c>
      <c r="N100" s="8" t="inlineStr">
        <is>
          <t>单手盈亏（筹码）=n</t>
        </is>
      </c>
      <c r="O100" s="8" t="inlineStr">
        <is>
          <t>profit_ev_summary.hand_profit_chips</t>
        </is>
      </c>
      <c r="P100" s="10" t="inlineStr">
        <is>
          <t>未执行</t>
        </is>
      </c>
      <c r="Q100" s="10" t="inlineStr"/>
      <c r="R100" s="11" t="inlineStr"/>
    </row>
    <row r="101" ht="72" customHeight="1">
      <c r="A101" s="5" t="inlineStr">
        <is>
          <t>TC-RPT-097</t>
        </is>
      </c>
      <c r="B101" s="5" t="inlineStr">
        <is>
          <t>hand_profit_chips</t>
        </is>
      </c>
      <c r="C101" s="5" t="inlineStr">
        <is>
          <t>单手盈亏（筹码）</t>
        </is>
      </c>
      <c r="D101" s="6" t="inlineStr">
        <is>
          <t>P0</t>
        </is>
      </c>
      <c r="E101" s="7" t="inlineStr">
        <is>
          <t>错误推断法</t>
        </is>
      </c>
      <c r="F101" s="7" t="inlineStr">
        <is>
          <t>盈亏EV</t>
        </is>
      </c>
      <c r="G101" s="7" t="inlineStr">
        <is>
          <t>内部</t>
        </is>
      </c>
      <c r="H101" s="8" t="inlineStr">
        <is>
          <t>每手牌 Hero 筹码净变化</t>
        </is>
      </c>
      <c r="I101" s="8" t="inlineStr">
        <is>
          <t>每手牌结束后的 Hero stack 差值，或结算字段</t>
        </is>
      </c>
      <c r="J101" s="8" t="inlineStr">
        <is>
          <t>单手盈亏（筹码）反例-源数据缺失不得编造</t>
        </is>
      </c>
      <c r="K101" s="12" t="inlineStr">
        <is>
          <t>反例</t>
        </is>
      </c>
      <c r="L101" s="8" t="inlineStr">
        <is>
          <t>1、已登录。本条只跑缺失场。
2、本场缺少「单手盈亏（筹码）」源数据。该手没有结算。</t>
        </is>
      </c>
      <c r="M101" s="8" t="inlineStr">
        <is>
          <t>1、上传素材，生成复盘报告，等到能打开。
2、打开「单手盈亏（筹码）」，检查是否为空或不出现。</t>
        </is>
      </c>
      <c r="N101" s="8" t="inlineStr">
        <is>
          <t>单手盈亏（筹码）为空或不出现</t>
        </is>
      </c>
      <c r="O101" s="8" t="inlineStr">
        <is>
          <t>profit_ev_summary.hand_profit_chips</t>
        </is>
      </c>
      <c r="P101" s="10" t="inlineStr">
        <is>
          <t>未执行</t>
        </is>
      </c>
      <c r="Q101" s="10" t="inlineStr"/>
      <c r="R101" s="11" t="inlineStr"/>
    </row>
    <row r="102" ht="72" customHeight="1">
      <c r="A102" s="5" t="inlineStr">
        <is>
          <t>TC-RPT-098</t>
        </is>
      </c>
      <c r="B102" s="5" t="inlineStr">
        <is>
          <t>hand_profit_chips</t>
        </is>
      </c>
      <c r="C102" s="5" t="inlineStr">
        <is>
          <t>单手盈亏（筹码）</t>
        </is>
      </c>
      <c r="D102" s="6" t="inlineStr">
        <is>
          <t>P0</t>
        </is>
      </c>
      <c r="E102" s="7" t="inlineStr">
        <is>
          <t>场景设计法</t>
        </is>
      </c>
      <c r="F102" s="7" t="inlineStr">
        <is>
          <t>盈亏EV</t>
        </is>
      </c>
      <c r="G102" s="7" t="inlineStr">
        <is>
          <t>内部</t>
        </is>
      </c>
      <c r="H102" s="8" t="inlineStr">
        <is>
          <t>每手牌 Hero 筹码净变化</t>
        </is>
      </c>
      <c r="I102" s="8" t="inlineStr">
        <is>
          <t>每手牌结束后的 Hero stack 差值，或结算字段</t>
        </is>
      </c>
      <c r="J102" s="8" t="inlineStr">
        <is>
          <t>单手盈亏正例-开始150结束200净盈利50</t>
        </is>
      </c>
      <c r="K102" s="9" t="inlineStr">
        <is>
          <t>正例</t>
        </is>
      </c>
      <c r="L102" s="8" t="inlineStr">
        <is>
          <t>1、已登录，当前用户是 Hero。
2、该手开始筹码150，结束筹码200，无ALLIN补码干扰。单手盈亏（筹码）=+50</t>
        </is>
      </c>
      <c r="M102" s="8" t="inlineStr">
        <is>
          <t>1、上传素材，生成复盘报告，等到能打开。
2、打开该手「单手盈亏（筹码）」，检查是否为+50（200-150）。</t>
        </is>
      </c>
      <c r="N102" s="8" t="inlineStr">
        <is>
          <t>单手盈亏（筹码）=+50</t>
        </is>
      </c>
      <c r="O102" s="8" t="inlineStr">
        <is>
          <t>profit_ev_summary.hand_profit_chips</t>
        </is>
      </c>
      <c r="P102" s="10" t="inlineStr">
        <is>
          <t>未执行</t>
        </is>
      </c>
      <c r="Q102" s="10" t="inlineStr"/>
      <c r="R102" s="11" t="inlineStr"/>
    </row>
    <row r="103" ht="72" customHeight="1">
      <c r="A103" s="5" t="inlineStr">
        <is>
          <t>TC-RPT-099</t>
        </is>
      </c>
      <c r="B103" s="5" t="inlineStr">
        <is>
          <t>hand_profit_chips</t>
        </is>
      </c>
      <c r="C103" s="5" t="inlineStr">
        <is>
          <t>单手盈亏（筹码）</t>
        </is>
      </c>
      <c r="D103" s="6" t="inlineStr">
        <is>
          <t>P0</t>
        </is>
      </c>
      <c r="E103" s="7" t="inlineStr">
        <is>
          <t>场景设计法</t>
        </is>
      </c>
      <c r="F103" s="7" t="inlineStr">
        <is>
          <t>盈亏EV</t>
        </is>
      </c>
      <c r="G103" s="7" t="inlineStr">
        <is>
          <t>内部</t>
        </is>
      </c>
      <c r="H103" s="8" t="inlineStr">
        <is>
          <t>每手牌 Hero 筹码净变化</t>
        </is>
      </c>
      <c r="I103" s="8" t="inlineStr">
        <is>
          <t>每手牌结束后的 Hero stack 差值，或结算字段</t>
        </is>
      </c>
      <c r="J103" s="8" t="inlineStr">
        <is>
          <t>单手盈亏正例-ALLIN赢下牌局按结算盈亏</t>
        </is>
      </c>
      <c r="K103" s="9" t="inlineStr">
        <is>
          <t>正例</t>
        </is>
      </c>
      <c r="L103" s="8" t="inlineStr">
        <is>
          <t>1、已登录，当前用户是 Hero。
2、Hero翻前ALLIN并赢下该手，按牌局结束筹码减开始筹码。单手盈亏为盈利值</t>
        </is>
      </c>
      <c r="M103" s="8" t="inlineStr">
        <is>
          <t>1、上传素材，生成复盘报告，等到能打开。
2、打开「单手盈亏（筹码）」，检查是否为盈利值。</t>
        </is>
      </c>
      <c r="N103" s="8" t="inlineStr">
        <is>
          <t>单手盈亏（筹码）=盈利值</t>
        </is>
      </c>
      <c r="O103" s="8" t="inlineStr">
        <is>
          <t>profit_ev_summary.hand_profit_chips</t>
        </is>
      </c>
      <c r="P103" s="10" t="inlineStr">
        <is>
          <t>未执行</t>
        </is>
      </c>
      <c r="Q103" s="10" t="inlineStr"/>
      <c r="R103" s="11" t="inlineStr"/>
    </row>
    <row r="104" ht="72" customHeight="1">
      <c r="A104" s="5" t="inlineStr">
        <is>
          <t>TC-RPT-100</t>
        </is>
      </c>
      <c r="B104" s="5" t="inlineStr">
        <is>
          <t>hand_profit_chips</t>
        </is>
      </c>
      <c r="C104" s="5" t="inlineStr">
        <is>
          <t>单手盈亏（筹码）</t>
        </is>
      </c>
      <c r="D104" s="6" t="inlineStr">
        <is>
          <t>P0</t>
        </is>
      </c>
      <c r="E104" s="7" t="inlineStr">
        <is>
          <t>场景设计法</t>
        </is>
      </c>
      <c r="F104" s="7" t="inlineStr">
        <is>
          <t>盈亏EV</t>
        </is>
      </c>
      <c r="G104" s="7" t="inlineStr">
        <is>
          <t>内部</t>
        </is>
      </c>
      <c r="H104" s="8" t="inlineStr">
        <is>
          <t>每手牌 Hero 筹码净变化</t>
        </is>
      </c>
      <c r="I104" s="8" t="inlineStr">
        <is>
          <t>每手牌结束后的 Hero stack 差值，或结算字段</t>
        </is>
      </c>
      <c r="J104" s="8" t="inlineStr">
        <is>
          <t>单手盈亏反例-ALLIN输后补码不用补码后筹码</t>
        </is>
      </c>
      <c r="K104" s="12" t="inlineStr">
        <is>
          <t>反例</t>
        </is>
      </c>
      <c r="L104" s="8" t="inlineStr">
        <is>
          <t>1、已登录，当前用户是 Hero。
2、Hero ALLIN输掉后立刻补码。本手盈亏按输ALLIN时结算筹码算，不用补码后余额</t>
        </is>
      </c>
      <c r="M104" s="8" t="inlineStr">
        <is>
          <t>1、上传素材，生成复盘报告，等到能打开。
2、打开该手「单手盈亏（筹码）」，检查是否为本手ALLIN亏损额（非补码后余额差）。</t>
        </is>
      </c>
      <c r="N104" s="8" t="inlineStr">
        <is>
          <t>单手盈亏（筹码）=本手ALLIN亏损额</t>
        </is>
      </c>
      <c r="O104" s="8" t="inlineStr">
        <is>
          <t>profit_ev_summary.hand_profit_chips</t>
        </is>
      </c>
      <c r="P104" s="10" t="inlineStr">
        <is>
          <t>未执行</t>
        </is>
      </c>
      <c r="Q104" s="10" t="inlineStr"/>
      <c r="R104" s="11" t="inlineStr"/>
    </row>
    <row r="105" ht="72" customHeight="1">
      <c r="A105" s="5" t="inlineStr">
        <is>
          <t>TC-RPT-101</t>
        </is>
      </c>
      <c r="B105" s="5" t="inlineStr">
        <is>
          <t>hand_profit_bb</t>
        </is>
      </c>
      <c r="C105" s="5" t="inlineStr">
        <is>
          <t>单手盈亏（BB）</t>
        </is>
      </c>
      <c r="D105" s="6" t="inlineStr">
        <is>
          <t>P0</t>
        </is>
      </c>
      <c r="E105" s="7" t="inlineStr">
        <is>
          <t>等价类划分法</t>
        </is>
      </c>
      <c r="F105" s="7" t="inlineStr">
        <is>
          <t>盈亏EV</t>
        </is>
      </c>
      <c r="G105" s="7" t="inlineStr">
        <is>
          <t>内部</t>
        </is>
      </c>
      <c r="H105" s="8" t="inlineStr">
        <is>
          <t>每手牌 Hero 以 BB 计的盈亏</t>
        </is>
      </c>
      <c r="I105" s="8" t="inlineStr">
        <is>
          <t>per_hand_profit / 当前大盲</t>
        </is>
      </c>
      <c r="J105" s="8" t="inlineStr">
        <is>
          <t>单手盈亏（BB）正例-单手筹码除以该手大盲</t>
        </is>
      </c>
      <c r="K105" s="9" t="inlineStr">
        <is>
          <t>正例</t>
        </is>
      </c>
      <c r="L105" s="8" t="inlineStr">
        <is>
          <t>1、已登录，当前用户是 Hero。只用正例场。
2、素材里按口径手算「单手盈亏（BB）」=n</t>
        </is>
      </c>
      <c r="M105" s="8" t="inlineStr">
        <is>
          <t>1、上传素材，生成复盘报告，等到能打开。
2、打开「单手盈亏（BB）」，检查是否为n。</t>
        </is>
      </c>
      <c r="N105" s="8" t="inlineStr">
        <is>
          <t>单手盈亏（BB）=n</t>
        </is>
      </c>
      <c r="O105" s="8" t="inlineStr">
        <is>
          <t>profit_ev_summary.hand_profit_bb</t>
        </is>
      </c>
      <c r="P105" s="10" t="inlineStr">
        <is>
          <t>未执行</t>
        </is>
      </c>
      <c r="Q105" s="10" t="inlineStr"/>
      <c r="R105" s="11" t="inlineStr"/>
    </row>
    <row r="106" ht="72" customHeight="1">
      <c r="A106" s="5" t="inlineStr">
        <is>
          <t>TC-RPT-102</t>
        </is>
      </c>
      <c r="B106" s="5" t="inlineStr">
        <is>
          <t>hand_profit_bb</t>
        </is>
      </c>
      <c r="C106" s="5" t="inlineStr">
        <is>
          <t>单手盈亏（BB）</t>
        </is>
      </c>
      <c r="D106" s="6" t="inlineStr">
        <is>
          <t>P0</t>
        </is>
      </c>
      <c r="E106" s="7" t="inlineStr">
        <is>
          <t>边界值分析法</t>
        </is>
      </c>
      <c r="F106" s="7" t="inlineStr">
        <is>
          <t>盈亏EV</t>
        </is>
      </c>
      <c r="G106" s="7" t="inlineStr">
        <is>
          <t>内部</t>
        </is>
      </c>
      <c r="H106" s="8" t="inlineStr">
        <is>
          <t>每手牌 Hero 以 BB 计的盈亏</t>
        </is>
      </c>
      <c r="I106" s="8" t="inlineStr">
        <is>
          <t>per_hand_profit / 当前大盲</t>
        </is>
      </c>
      <c r="J106" s="8" t="inlineStr">
        <is>
          <t>单手盈亏（BB）正例-单位与换算正确</t>
        </is>
      </c>
      <c r="K106" s="9" t="inlineStr">
        <is>
          <t>正例</t>
        </is>
      </c>
      <c r="L106" s="8" t="inlineStr">
        <is>
          <t>1、已登录，当前用户是 Hero。
2、各手筹码和大盲已记下，按该手换算后「单手盈亏（BB）」=n</t>
        </is>
      </c>
      <c r="M106" s="8" t="inlineStr">
        <is>
          <t>1、上传素材，生成复盘报告，等到能打开。
2、打开「单手盈亏（BB）」，检查是否为n。</t>
        </is>
      </c>
      <c r="N106" s="8" t="inlineStr">
        <is>
          <t>单手盈亏（BB）=n</t>
        </is>
      </c>
      <c r="O106" s="8" t="inlineStr">
        <is>
          <t>profit_ev_summary.hand_profit_bb</t>
        </is>
      </c>
      <c r="P106" s="10" t="inlineStr">
        <is>
          <t>未执行</t>
        </is>
      </c>
      <c r="Q106" s="10" t="inlineStr"/>
      <c r="R106" s="11" t="inlineStr"/>
    </row>
    <row r="107" ht="72" customHeight="1">
      <c r="A107" s="5" t="inlineStr">
        <is>
          <t>TC-RPT-103</t>
        </is>
      </c>
      <c r="B107" s="5" t="inlineStr">
        <is>
          <t>winning_hands_count</t>
        </is>
      </c>
      <c r="C107" s="5" t="inlineStr">
        <is>
          <t>盈利手数</t>
        </is>
      </c>
      <c r="D107" s="13" t="inlineStr">
        <is>
          <t>P1</t>
        </is>
      </c>
      <c r="E107" s="7" t="inlineStr">
        <is>
          <t>等价类划分法</t>
        </is>
      </c>
      <c r="F107" s="7" t="inlineStr">
        <is>
          <t>盈亏EV</t>
        </is>
      </c>
      <c r="G107" s="7" t="inlineStr">
        <is>
          <t>内部</t>
        </is>
      </c>
      <c r="H107" s="8" t="inlineStr">
        <is>
          <t>单手盈利的手牌数量</t>
        </is>
      </c>
      <c r="I107" s="8" t="inlineStr">
        <is>
          <t>per_hand_profit &gt; 0 的手牌数</t>
        </is>
      </c>
      <c r="J107" s="8" t="inlineStr">
        <is>
          <t>盈利手数正例-盈利已结算手</t>
        </is>
      </c>
      <c r="K107" s="9" t="inlineStr">
        <is>
          <t>正例</t>
        </is>
      </c>
      <c r="L107" s="8" t="inlineStr">
        <is>
          <t>1、已登录，当前用户是 Hero。只用正例场。
2、素材里盈利手数=n</t>
        </is>
      </c>
      <c r="M107" s="8" t="inlineStr">
        <is>
          <t>1、上传素材，生成复盘报告，等到能打开。
2、打开「盈利手数」，检查是否为n。</t>
        </is>
      </c>
      <c r="N107" s="8" t="inlineStr">
        <is>
          <t>盈利手数=n</t>
        </is>
      </c>
      <c r="O107" s="8" t="inlineStr">
        <is>
          <t>profit_ev_summary.winning_hands_count</t>
        </is>
      </c>
      <c r="P107" s="10" t="inlineStr">
        <is>
          <t>未执行</t>
        </is>
      </c>
      <c r="Q107" s="10" t="inlineStr"/>
      <c r="R107" s="11" t="inlineStr"/>
    </row>
    <row r="108" ht="72" customHeight="1">
      <c r="A108" s="5" t="inlineStr">
        <is>
          <t>TC-RPT-104</t>
        </is>
      </c>
      <c r="B108" s="5" t="inlineStr">
        <is>
          <t>winning_hands_count</t>
        </is>
      </c>
      <c r="C108" s="5" t="inlineStr">
        <is>
          <t>盈利手数</t>
        </is>
      </c>
      <c r="D108" s="13" t="inlineStr">
        <is>
          <t>P1</t>
        </is>
      </c>
      <c r="E108" s="7" t="inlineStr">
        <is>
          <t>场景设计法</t>
        </is>
      </c>
      <c r="F108" s="7" t="inlineStr">
        <is>
          <t>盈亏EV</t>
        </is>
      </c>
      <c r="G108" s="7" t="inlineStr">
        <is>
          <t>内部</t>
        </is>
      </c>
      <c r="H108" s="8" t="inlineStr">
        <is>
          <t>单手盈利的手牌数量</t>
        </is>
      </c>
      <c r="I108" s="8" t="inlineStr">
        <is>
          <t>per_hand_profit &gt; 0 的手牌数</t>
        </is>
      </c>
      <c r="J108" s="8" t="inlineStr">
        <is>
          <t>盈利手数反例-打平手不含这一手</t>
        </is>
      </c>
      <c r="K108" s="12" t="inlineStr">
        <is>
          <t>反例</t>
        </is>
      </c>
      <c r="L108" s="8" t="inlineStr">
        <is>
          <t>1、已登录，当前用户是 Hero。
2、素材含一手：Hero本手打平（盈亏=0）。盈利手数不含这一手，仍=n</t>
        </is>
      </c>
      <c r="M108" s="8" t="inlineStr">
        <is>
          <t>1、上传素材，生成复盘报告，等到能打开。
2、打开「盈利手数」，检查是否为n。</t>
        </is>
      </c>
      <c r="N108" s="8" t="inlineStr">
        <is>
          <t>盈利手数=n</t>
        </is>
      </c>
      <c r="O108" s="8" t="inlineStr">
        <is>
          <t>profit_ev_summary.winning_hands_count</t>
        </is>
      </c>
      <c r="P108" s="10" t="inlineStr">
        <is>
          <t>未执行</t>
        </is>
      </c>
      <c r="Q108" s="10" t="inlineStr"/>
      <c r="R108" s="11" t="inlineStr"/>
    </row>
    <row r="109" ht="72" customHeight="1">
      <c r="A109" s="5" t="inlineStr">
        <is>
          <t>TC-RPT-105</t>
        </is>
      </c>
      <c r="B109" s="5" t="inlineStr">
        <is>
          <t>winning_hands_count</t>
        </is>
      </c>
      <c r="C109" s="5" t="inlineStr">
        <is>
          <t>盈利手数</t>
        </is>
      </c>
      <c r="D109" s="13" t="inlineStr">
        <is>
          <t>P1</t>
        </is>
      </c>
      <c r="E109" s="7" t="inlineStr">
        <is>
          <t>场景设计法</t>
        </is>
      </c>
      <c r="F109" s="7" t="inlineStr">
        <is>
          <t>盈亏EV</t>
        </is>
      </c>
      <c r="G109" s="7" t="inlineStr">
        <is>
          <t>内部</t>
        </is>
      </c>
      <c r="H109" s="8" t="inlineStr">
        <is>
          <t>单手盈利的手牌数量</t>
        </is>
      </c>
      <c r="I109" s="8" t="inlineStr">
        <is>
          <t>per_hand_profit &gt; 0 的手牌数</t>
        </is>
      </c>
      <c r="J109" s="8" t="inlineStr">
        <is>
          <t>盈利手数正例-转牌河牌买保险仍计盈利手</t>
        </is>
      </c>
      <c r="K109" s="9" t="inlineStr">
        <is>
          <t>正例</t>
        </is>
      </c>
      <c r="L109" s="8" t="inlineStr">
        <is>
          <t>1、已登录，当前用户是 Hero。
2、Hero在转牌/河牌购买保险且本手最终盈利。盈利手数=n+1</t>
        </is>
      </c>
      <c r="M109" s="8" t="inlineStr">
        <is>
          <t>1、上传素材，生成复盘报告，等到能打开。
2、打开「盈利手数」，检查是否为n+1。</t>
        </is>
      </c>
      <c r="N109" s="8" t="inlineStr">
        <is>
          <t>盈利手数=n+1</t>
        </is>
      </c>
      <c r="O109" s="8" t="inlineStr">
        <is>
          <t>profit_ev_summary.winning_hands_count</t>
        </is>
      </c>
      <c r="P109" s="10" t="inlineStr">
        <is>
          <t>未执行</t>
        </is>
      </c>
      <c r="Q109" s="10" t="inlineStr"/>
      <c r="R109" s="11" t="inlineStr"/>
    </row>
    <row r="110" ht="72" customHeight="1">
      <c r="A110" s="5" t="inlineStr">
        <is>
          <t>TC-RPT-106</t>
        </is>
      </c>
      <c r="B110" s="5" t="inlineStr">
        <is>
          <t>winning_hands_count</t>
        </is>
      </c>
      <c r="C110" s="5" t="inlineStr">
        <is>
          <t>盈利手数</t>
        </is>
      </c>
      <c r="D110" s="13" t="inlineStr">
        <is>
          <t>P1</t>
        </is>
      </c>
      <c r="E110" s="7" t="inlineStr">
        <is>
          <t>场景设计法</t>
        </is>
      </c>
      <c r="F110" s="7" t="inlineStr">
        <is>
          <t>盈亏EV</t>
        </is>
      </c>
      <c r="G110" s="7" t="inlineStr">
        <is>
          <t>内部</t>
        </is>
      </c>
      <c r="H110" s="8" t="inlineStr">
        <is>
          <t>单手盈利的手牌数量</t>
        </is>
      </c>
      <c r="I110" s="8" t="inlineStr">
        <is>
          <t>per_hand_profit &gt; 0 的手牌数</t>
        </is>
      </c>
      <c r="J110" s="8" t="inlineStr">
        <is>
          <t>盈利手数正例-ALLIN后补码超开始筹码仍按本手结算</t>
        </is>
      </c>
      <c r="K110" s="9" t="inlineStr">
        <is>
          <t>正例</t>
        </is>
      </c>
      <c r="L110" s="8" t="inlineStr">
        <is>
          <t>1、已登录，当前用户是 Hero。
2、Hero ALLIN结束后续局补码超过本手开始筹码。本手若盈利仍计盈利手数=n+1</t>
        </is>
      </c>
      <c r="M110" s="8" t="inlineStr">
        <is>
          <t>1、上传素材，生成复盘报告，等到能打开。
2、打开「盈利手数」，检查是否为n+1。</t>
        </is>
      </c>
      <c r="N110" s="8" t="inlineStr">
        <is>
          <t>盈利手数=n+1</t>
        </is>
      </c>
      <c r="O110" s="8" t="inlineStr">
        <is>
          <t>profit_ev_summary.winning_hands_count</t>
        </is>
      </c>
      <c r="P110" s="10" t="inlineStr">
        <is>
          <t>未执行</t>
        </is>
      </c>
      <c r="Q110" s="10" t="inlineStr"/>
      <c r="R110" s="11" t="inlineStr"/>
    </row>
    <row r="111" ht="72" customHeight="1">
      <c r="A111" s="5" t="inlineStr">
        <is>
          <t>TC-RPT-107</t>
        </is>
      </c>
      <c r="B111" s="5" t="inlineStr">
        <is>
          <t>losing_hands_count</t>
        </is>
      </c>
      <c r="C111" s="5" t="inlineStr">
        <is>
          <t>亏损手数</t>
        </is>
      </c>
      <c r="D111" s="13" t="inlineStr">
        <is>
          <t>P1</t>
        </is>
      </c>
      <c r="E111" s="7" t="inlineStr">
        <is>
          <t>等价类划分法</t>
        </is>
      </c>
      <c r="F111" s="7" t="inlineStr">
        <is>
          <t>盈亏EV</t>
        </is>
      </c>
      <c r="G111" s="7" t="inlineStr">
        <is>
          <t>内部</t>
        </is>
      </c>
      <c r="H111" s="8" t="inlineStr">
        <is>
          <t>单手亏损的手牌数量</t>
        </is>
      </c>
      <c r="I111" s="8" t="inlineStr">
        <is>
          <t>per_hand_profit &lt; 0 的手牌数</t>
        </is>
      </c>
      <c r="J111" s="8" t="inlineStr">
        <is>
          <t>亏损手数正例-亏损已结算手</t>
        </is>
      </c>
      <c r="K111" s="9" t="inlineStr">
        <is>
          <t>正例</t>
        </is>
      </c>
      <c r="L111" s="8" t="inlineStr">
        <is>
          <t>1、已登录，当前用户是 Hero。只用正例场。
2、素材里亏损手数=n</t>
        </is>
      </c>
      <c r="M111" s="8" t="inlineStr">
        <is>
          <t>1、上传素材，生成复盘报告，等到能打开。
2、打开「亏损手数」，检查是否为n。</t>
        </is>
      </c>
      <c r="N111" s="8" t="inlineStr">
        <is>
          <t>亏损手数=n</t>
        </is>
      </c>
      <c r="O111" s="8" t="inlineStr">
        <is>
          <t>profit_ev_summary.losing_hands_count</t>
        </is>
      </c>
      <c r="P111" s="10" t="inlineStr">
        <is>
          <t>未执行</t>
        </is>
      </c>
      <c r="Q111" s="10" t="inlineStr"/>
      <c r="R111" s="11" t="inlineStr"/>
    </row>
    <row r="112" ht="72" customHeight="1">
      <c r="A112" s="5" t="inlineStr">
        <is>
          <t>TC-RPT-108</t>
        </is>
      </c>
      <c r="B112" s="5" t="inlineStr">
        <is>
          <t>losing_hands_count</t>
        </is>
      </c>
      <c r="C112" s="5" t="inlineStr">
        <is>
          <t>亏损手数</t>
        </is>
      </c>
      <c r="D112" s="13" t="inlineStr">
        <is>
          <t>P1</t>
        </is>
      </c>
      <c r="E112" s="7" t="inlineStr">
        <is>
          <t>场景设计法</t>
        </is>
      </c>
      <c r="F112" s="7" t="inlineStr">
        <is>
          <t>盈亏EV</t>
        </is>
      </c>
      <c r="G112" s="7" t="inlineStr">
        <is>
          <t>内部</t>
        </is>
      </c>
      <c r="H112" s="8" t="inlineStr">
        <is>
          <t>单手亏损的手牌数量</t>
        </is>
      </c>
      <c r="I112" s="8" t="inlineStr">
        <is>
          <t>per_hand_profit &lt; 0 的手牌数</t>
        </is>
      </c>
      <c r="J112" s="8" t="inlineStr">
        <is>
          <t>亏损手数反例-打平手不含这一手</t>
        </is>
      </c>
      <c r="K112" s="12" t="inlineStr">
        <is>
          <t>反例</t>
        </is>
      </c>
      <c r="L112" s="8" t="inlineStr">
        <is>
          <t>1、已登录，当前用户是 Hero。
2、素材含一手：Hero本手打平（盈亏=0）。亏损手数不含这一手，仍=n</t>
        </is>
      </c>
      <c r="M112" s="8" t="inlineStr">
        <is>
          <t>1、上传素材，生成复盘报告，等到能打开。
2、打开「亏损手数」，检查是否为n。</t>
        </is>
      </c>
      <c r="N112" s="8" t="inlineStr">
        <is>
          <t>亏损手数=n</t>
        </is>
      </c>
      <c r="O112" s="8" t="inlineStr">
        <is>
          <t>profit_ev_summary.losing_hands_count</t>
        </is>
      </c>
      <c r="P112" s="10" t="inlineStr">
        <is>
          <t>未执行</t>
        </is>
      </c>
      <c r="Q112" s="10" t="inlineStr"/>
      <c r="R112" s="11" t="inlineStr"/>
    </row>
    <row r="113" ht="72" customHeight="1">
      <c r="A113" s="5" t="inlineStr">
        <is>
          <t>TC-RPT-109</t>
        </is>
      </c>
      <c r="B113" s="5" t="inlineStr">
        <is>
          <t>losing_hands_count</t>
        </is>
      </c>
      <c r="C113" s="5" t="inlineStr">
        <is>
          <t>亏损手数</t>
        </is>
      </c>
      <c r="D113" s="13" t="inlineStr">
        <is>
          <t>P1</t>
        </is>
      </c>
      <c r="E113" s="7" t="inlineStr">
        <is>
          <t>场景设计法</t>
        </is>
      </c>
      <c r="F113" s="7" t="inlineStr">
        <is>
          <t>盈亏EV</t>
        </is>
      </c>
      <c r="G113" s="7" t="inlineStr">
        <is>
          <t>内部</t>
        </is>
      </c>
      <c r="H113" s="8" t="inlineStr">
        <is>
          <t>单手亏损的手牌数量</t>
        </is>
      </c>
      <c r="I113" s="8" t="inlineStr">
        <is>
          <t>per_hand_profit &lt; 0 的手牌数</t>
        </is>
      </c>
      <c r="J113" s="8" t="inlineStr">
        <is>
          <t>亏损手数正例-补盲后直接弃牌计入</t>
        </is>
      </c>
      <c r="K113" s="9" t="inlineStr">
        <is>
          <t>正例</t>
        </is>
      </c>
      <c r="L113" s="8" t="inlineStr">
        <is>
          <t>1、已登录，当前用户是 Hero。
2、Hero中途补盲后翻前直接弃牌，本手有亏损。亏损手数=n+1</t>
        </is>
      </c>
      <c r="M113" s="8" t="inlineStr">
        <is>
          <t>1、上传素材，生成复盘报告，等到能打开。
2、打开「亏损手数」，检查是否为n+1。</t>
        </is>
      </c>
      <c r="N113" s="8" t="inlineStr">
        <is>
          <t>亏损手数=n+1</t>
        </is>
      </c>
      <c r="O113" s="8" t="inlineStr">
        <is>
          <t>profit_ev_summary.losing_hands_count</t>
        </is>
      </c>
      <c r="P113" s="10" t="inlineStr">
        <is>
          <t>未执行</t>
        </is>
      </c>
      <c r="Q113" s="10" t="inlineStr"/>
      <c r="R113" s="11" t="inlineStr"/>
    </row>
    <row r="114" ht="72" customHeight="1">
      <c r="A114" s="5" t="inlineStr">
        <is>
          <t>TC-RPT-110</t>
        </is>
      </c>
      <c r="B114" s="5" t="inlineStr">
        <is>
          <t>losing_hands_count</t>
        </is>
      </c>
      <c r="C114" s="5" t="inlineStr">
        <is>
          <t>亏损手数</t>
        </is>
      </c>
      <c r="D114" s="13" t="inlineStr">
        <is>
          <t>P1</t>
        </is>
      </c>
      <c r="E114" s="7" t="inlineStr">
        <is>
          <t>场景设计法</t>
        </is>
      </c>
      <c r="F114" s="7" t="inlineStr">
        <is>
          <t>盈亏EV</t>
        </is>
      </c>
      <c r="G114" s="7" t="inlineStr">
        <is>
          <t>内部</t>
        </is>
      </c>
      <c r="H114" s="8" t="inlineStr">
        <is>
          <t>单手亏损的手牌数量</t>
        </is>
      </c>
      <c r="I114" s="8" t="inlineStr">
        <is>
          <t>per_hand_profit &lt; 0 的手牌数</t>
        </is>
      </c>
      <c r="J114" s="8" t="inlineStr">
        <is>
          <t>亏损手数正例-大小盲位只交盲即弃计入</t>
        </is>
      </c>
      <c r="K114" s="9" t="inlineStr">
        <is>
          <t>正例</t>
        </is>
      </c>
      <c r="L114" s="8" t="inlineStr">
        <is>
          <t>1、已登录，当前用户是 Hero。
2、有前注：非大小盲位只下前注弃；无前注：大小盲位只交盲弃。本手有亏。亏损手数=n+1</t>
        </is>
      </c>
      <c r="M114" s="8" t="inlineStr">
        <is>
          <t>1、上传素材，生成复盘报告，等到能打开。
2、打开「亏损手数」，检查是否为n+1。</t>
        </is>
      </c>
      <c r="N114" s="8" t="inlineStr">
        <is>
          <t>亏损手数=n+1</t>
        </is>
      </c>
      <c r="O114" s="8" t="inlineStr">
        <is>
          <t>profit_ev_summary.losing_hands_count</t>
        </is>
      </c>
      <c r="P114" s="10" t="inlineStr">
        <is>
          <t>未执行</t>
        </is>
      </c>
      <c r="Q114" s="10" t="inlineStr"/>
      <c r="R114" s="11" t="inlineStr"/>
    </row>
    <row r="115" ht="72" customHeight="1">
      <c r="A115" s="5" t="inlineStr">
        <is>
          <t>TC-RPT-111</t>
        </is>
      </c>
      <c r="B115" s="5" t="inlineStr">
        <is>
          <t>breakeven_hands_count</t>
        </is>
      </c>
      <c r="C115" s="5" t="inlineStr">
        <is>
          <t>打平手数</t>
        </is>
      </c>
      <c r="D115" s="14" t="inlineStr">
        <is>
          <t>P2</t>
        </is>
      </c>
      <c r="E115" s="7" t="inlineStr">
        <is>
          <t>等价类划分法</t>
        </is>
      </c>
      <c r="F115" s="7" t="inlineStr">
        <is>
          <t>盈亏EV</t>
        </is>
      </c>
      <c r="G115" s="7" t="inlineStr">
        <is>
          <t>内部</t>
        </is>
      </c>
      <c r="H115" s="8" t="inlineStr">
        <is>
          <t>无盈亏变化的手牌数量</t>
        </is>
      </c>
      <c r="I115" s="8" t="inlineStr">
        <is>
          <t>per_hand_profit = 0 的手牌数</t>
        </is>
      </c>
      <c r="J115" s="8" t="inlineStr">
        <is>
          <t>打平手数正例-打平已结算手</t>
        </is>
      </c>
      <c r="K115" s="9" t="inlineStr">
        <is>
          <t>正例</t>
        </is>
      </c>
      <c r="L115" s="8" t="inlineStr">
        <is>
          <t>1、已登录，当前用户是 Hero。只用正例场。
2、素材里打平手数=n</t>
        </is>
      </c>
      <c r="M115" s="8" t="inlineStr">
        <is>
          <t>1、上传素材，生成复盘报告，等到能打开。
2、打开「打平手数」，检查是否为n。</t>
        </is>
      </c>
      <c r="N115" s="8" t="inlineStr">
        <is>
          <t>打平手数=n</t>
        </is>
      </c>
      <c r="O115" s="8" t="inlineStr">
        <is>
          <t>profit_ev_summary.breakeven_hands_count</t>
        </is>
      </c>
      <c r="P115" s="10" t="inlineStr">
        <is>
          <t>未执行</t>
        </is>
      </c>
      <c r="Q115" s="10" t="inlineStr"/>
      <c r="R115" s="11" t="inlineStr"/>
    </row>
    <row r="116" ht="72" customHeight="1">
      <c r="A116" s="5" t="inlineStr">
        <is>
          <t>TC-RPT-112</t>
        </is>
      </c>
      <c r="B116" s="5" t="inlineStr">
        <is>
          <t>breakeven_hands_count</t>
        </is>
      </c>
      <c r="C116" s="5" t="inlineStr">
        <is>
          <t>打平手数</t>
        </is>
      </c>
      <c r="D116" s="14" t="inlineStr">
        <is>
          <t>P2</t>
        </is>
      </c>
      <c r="E116" s="7" t="inlineStr">
        <is>
          <t>边界值分析法</t>
        </is>
      </c>
      <c r="F116" s="7" t="inlineStr">
        <is>
          <t>盈亏EV</t>
        </is>
      </c>
      <c r="G116" s="7" t="inlineStr">
        <is>
          <t>内部</t>
        </is>
      </c>
      <c r="H116" s="8" t="inlineStr">
        <is>
          <t>无盈亏变化的手牌数量</t>
        </is>
      </c>
      <c r="I116" s="8" t="inlineStr">
        <is>
          <t>per_hand_profit = 0 的手牌数</t>
        </is>
      </c>
      <c r="J116" s="8" t="inlineStr">
        <is>
          <t>打平手数正例-单位与换算正确</t>
        </is>
      </c>
      <c r="K116" s="9" t="inlineStr">
        <is>
          <t>正例</t>
        </is>
      </c>
      <c r="L116" s="8" t="inlineStr">
        <is>
          <t>1、已登录，当前用户是 Hero。
2、各手筹码和大盲已记下，按该手换算后「打平手数」=n</t>
        </is>
      </c>
      <c r="M116" s="8" t="inlineStr">
        <is>
          <t>1、上传素材，生成复盘报告，等到能打开。
2、打开「打平手数」，检查是否为n。</t>
        </is>
      </c>
      <c r="N116" s="8" t="inlineStr">
        <is>
          <t>打平手数=n</t>
        </is>
      </c>
      <c r="O116" s="8" t="inlineStr">
        <is>
          <t>profit_ev_summary.breakeven_hands_count</t>
        </is>
      </c>
      <c r="P116" s="10" t="inlineStr">
        <is>
          <t>未执行</t>
        </is>
      </c>
      <c r="Q116" s="10" t="inlineStr"/>
      <c r="R116" s="11" t="inlineStr"/>
    </row>
    <row r="117" ht="72" customHeight="1">
      <c r="A117" s="5" t="inlineStr">
        <is>
          <t>TC-RPT-113</t>
        </is>
      </c>
      <c r="B117" s="5" t="inlineStr">
        <is>
          <t>breakeven_hands_count</t>
        </is>
      </c>
      <c r="C117" s="5" t="inlineStr">
        <is>
          <t>打平手数</t>
        </is>
      </c>
      <c r="D117" s="14" t="inlineStr">
        <is>
          <t>P2</t>
        </is>
      </c>
      <c r="E117" s="7" t="inlineStr">
        <is>
          <t>场景设计法</t>
        </is>
      </c>
      <c r="F117" s="7" t="inlineStr">
        <is>
          <t>盈亏EV</t>
        </is>
      </c>
      <c r="G117" s="7" t="inlineStr">
        <is>
          <t>内部</t>
        </is>
      </c>
      <c r="H117" s="8" t="inlineStr">
        <is>
          <t>无盈亏变化的手牌数量</t>
        </is>
      </c>
      <c r="I117" s="8" t="inlineStr">
        <is>
          <t>per_hand_profit = 0 的手牌数</t>
        </is>
      </c>
      <c r="J117" s="8" t="inlineStr">
        <is>
          <t>打平手数反例-微赢微亏不含这一手</t>
        </is>
      </c>
      <c r="K117" s="12" t="inlineStr">
        <is>
          <t>反例</t>
        </is>
      </c>
      <c r="L117" s="8" t="inlineStr">
        <is>
          <t>1、已登录，当前用户是 Hero。
2、素材含两手：微赢一手、微亏一手。打平手数不含它们，仍=n</t>
        </is>
      </c>
      <c r="M117" s="8" t="inlineStr">
        <is>
          <t>1、上传素材，生成复盘报告，等到能打开。
2、打开「打平手数」，检查是否为n。</t>
        </is>
      </c>
      <c r="N117" s="8" t="inlineStr">
        <is>
          <t>打平手数=n</t>
        </is>
      </c>
      <c r="O117" s="8" t="inlineStr">
        <is>
          <t>profit_ev_summary.breakeven_hands_count</t>
        </is>
      </c>
      <c r="P117" s="10" t="inlineStr">
        <is>
          <t>未执行</t>
        </is>
      </c>
      <c r="Q117" s="10" t="inlineStr"/>
      <c r="R117" s="11" t="inlineStr"/>
    </row>
    <row r="118" ht="72" customHeight="1">
      <c r="A118" s="5" t="inlineStr">
        <is>
          <t>TC-RPT-114</t>
        </is>
      </c>
      <c r="B118" s="5" t="inlineStr">
        <is>
          <t>breakeven_hands_count</t>
        </is>
      </c>
      <c r="C118" s="5" t="inlineStr">
        <is>
          <t>打平手数</t>
        </is>
      </c>
      <c r="D118" s="14" t="inlineStr">
        <is>
          <t>P2</t>
        </is>
      </c>
      <c r="E118" s="7" t="inlineStr">
        <is>
          <t>场景设计法</t>
        </is>
      </c>
      <c r="F118" s="7" t="inlineStr">
        <is>
          <t>盈亏EV</t>
        </is>
      </c>
      <c r="G118" s="7" t="inlineStr">
        <is>
          <t>内部</t>
        </is>
      </c>
      <c r="H118" s="8" t="inlineStr">
        <is>
          <t>无盈亏变化的手牌数量</t>
        </is>
      </c>
      <c r="I118" s="8" t="inlineStr">
        <is>
          <t>per_hand_profit = 0 的手牌数</t>
        </is>
      </c>
      <c r="J118" s="8" t="inlineStr">
        <is>
          <t>打平手数正例-无前注非盲位首轮弃牌计打平</t>
        </is>
      </c>
      <c r="K118" s="9" t="inlineStr">
        <is>
          <t>正例</t>
        </is>
      </c>
      <c r="L118" s="8" t="inlineStr">
        <is>
          <t>1、已登录，当前用户是 Hero。
2、无前注且不在大小盲，Hero首轮行动直接弃牌，盈亏=0。打平手数=n+1</t>
        </is>
      </c>
      <c r="M118" s="8" t="inlineStr">
        <is>
          <t>1、上传素材，生成复盘报告，等到能打开。
2、打开「打平手数」，检查是否为n+1。</t>
        </is>
      </c>
      <c r="N118" s="8" t="inlineStr">
        <is>
          <t>打平手数=n+1</t>
        </is>
      </c>
      <c r="O118" s="8" t="inlineStr">
        <is>
          <t>profit_ev_summary.breakeven_hands_count</t>
        </is>
      </c>
      <c r="P118" s="10" t="inlineStr">
        <is>
          <t>未执行</t>
        </is>
      </c>
      <c r="Q118" s="10" t="inlineStr"/>
      <c r="R118" s="11" t="inlineStr"/>
    </row>
    <row r="119" ht="72" customHeight="1">
      <c r="A119" s="5" t="inlineStr">
        <is>
          <t>TC-RPT-115</t>
        </is>
      </c>
      <c r="B119" s="5" t="inlineStr">
        <is>
          <t>top_profit_hands</t>
        </is>
      </c>
      <c r="C119" s="5" t="inlineStr">
        <is>
          <t>盈利较大手牌列表</t>
        </is>
      </c>
      <c r="D119" s="13" t="inlineStr">
        <is>
          <t>P1</t>
        </is>
      </c>
      <c r="E119" s="7" t="inlineStr">
        <is>
          <t>等价类划分法</t>
        </is>
      </c>
      <c r="F119" s="7" t="inlineStr">
        <is>
          <t>盈亏EV</t>
        </is>
      </c>
      <c r="G119" s="7" t="inlineStr">
        <is>
          <t>内部</t>
        </is>
      </c>
      <c r="H119" s="8" t="inlineStr">
        <is>
          <t>本场盈利靠前的手牌集合及每手盈亏</t>
        </is>
      </c>
      <c r="I119" s="8" t="inlineStr">
        <is>
          <t>按 per_hand_profit 倒序取 Top N</t>
        </is>
      </c>
      <c r="J119" s="8" t="inlineStr">
        <is>
          <t>盈利较大手牌列表正例-按盈利从高到低取前几手</t>
        </is>
      </c>
      <c r="K119" s="9" t="inlineStr">
        <is>
          <t>正例</t>
        </is>
      </c>
      <c r="L119" s="8" t="inlineStr">
        <is>
          <t>1、已登录，当前用户是 Hero。只用正例场。
2、素材里按口径手算「盈利较大手牌列表」=n</t>
        </is>
      </c>
      <c r="M119" s="8" t="inlineStr">
        <is>
          <t>1、上传素材，生成复盘报告，等到能打开。
2、打开「盈利较大手牌列表」，检查是否为n。</t>
        </is>
      </c>
      <c r="N119" s="8" t="inlineStr">
        <is>
          <t>盈利较大手牌列表=n</t>
        </is>
      </c>
      <c r="O119" s="8" t="inlineStr">
        <is>
          <t>profit_ev_summary.top_profit_hands</t>
        </is>
      </c>
      <c r="P119" s="10" t="inlineStr">
        <is>
          <t>未执行</t>
        </is>
      </c>
      <c r="Q119" s="10" t="inlineStr"/>
      <c r="R119" s="11" t="inlineStr"/>
    </row>
    <row r="120" ht="72" customHeight="1">
      <c r="A120" s="5" t="inlineStr">
        <is>
          <t>TC-RPT-116</t>
        </is>
      </c>
      <c r="B120" s="5" t="inlineStr">
        <is>
          <t>top_profit_hands</t>
        </is>
      </c>
      <c r="C120" s="5" t="inlineStr">
        <is>
          <t>盈利较大手牌列表</t>
        </is>
      </c>
      <c r="D120" s="13" t="inlineStr">
        <is>
          <t>P1</t>
        </is>
      </c>
      <c r="E120" s="7" t="inlineStr">
        <is>
          <t>等价类划分法</t>
        </is>
      </c>
      <c r="F120" s="7" t="inlineStr">
        <is>
          <t>盈亏EV</t>
        </is>
      </c>
      <c r="G120" s="7" t="inlineStr">
        <is>
          <t>内部</t>
        </is>
      </c>
      <c r="H120" s="8" t="inlineStr">
        <is>
          <t>本场盈利靠前的手牌集合及每手盈亏</t>
        </is>
      </c>
      <c r="I120" s="8" t="inlineStr">
        <is>
          <t>按 per_hand_profit 倒序取 Top N</t>
        </is>
      </c>
      <c r="J120" s="8" t="inlineStr">
        <is>
          <t>盈利较大手牌列表反例-亏损手进盈利榜</t>
        </is>
      </c>
      <c r="K120" s="12" t="inlineStr">
        <is>
          <t>反例</t>
        </is>
      </c>
      <c r="L120" s="8" t="inlineStr">
        <is>
          <t>1、已登录，当前用户是 Hero。准备下列不该计入的素材。
2、素材含亏损手。盈利榜不应出现亏损手，「盈利较大手牌列表」仍=n</t>
        </is>
      </c>
      <c r="M120" s="8" t="inlineStr">
        <is>
          <t>1、上传素材，生成复盘报告，等到能打开。
2、打开「盈利较大手牌列表」，检查是否为n。</t>
        </is>
      </c>
      <c r="N120" s="8" t="inlineStr">
        <is>
          <t>盈利较大手牌列表=n</t>
        </is>
      </c>
      <c r="O120" s="8" t="inlineStr">
        <is>
          <t>profit_ev_summary.top_profit_hands</t>
        </is>
      </c>
      <c r="P120" s="10" t="inlineStr">
        <is>
          <t>未执行</t>
        </is>
      </c>
      <c r="Q120" s="10" t="inlineStr"/>
      <c r="R120" s="11" t="inlineStr"/>
    </row>
    <row r="121" ht="72" customHeight="1">
      <c r="A121" s="5" t="inlineStr">
        <is>
          <t>TC-RPT-117</t>
        </is>
      </c>
      <c r="B121" s="5" t="inlineStr">
        <is>
          <t>top_profit_hands</t>
        </is>
      </c>
      <c r="C121" s="5" t="inlineStr">
        <is>
          <t>盈利较大手牌列表</t>
        </is>
      </c>
      <c r="D121" s="13" t="inlineStr">
        <is>
          <t>P1</t>
        </is>
      </c>
      <c r="E121" s="7" t="inlineStr">
        <is>
          <t>错误推断法</t>
        </is>
      </c>
      <c r="F121" s="7" t="inlineStr">
        <is>
          <t>盈亏EV</t>
        </is>
      </c>
      <c r="G121" s="7" t="inlineStr">
        <is>
          <t>内部</t>
        </is>
      </c>
      <c r="H121" s="8" t="inlineStr">
        <is>
          <t>本场盈利靠前的手牌集合及每手盈亏</t>
        </is>
      </c>
      <c r="I121" s="8" t="inlineStr">
        <is>
          <t>按 per_hand_profit 倒序取 Top N</t>
        </is>
      </c>
      <c r="J121" s="8" t="inlineStr">
        <is>
          <t>盈利较大手牌列表反例-源数据缺失不得编造</t>
        </is>
      </c>
      <c r="K121" s="12" t="inlineStr">
        <is>
          <t>反例</t>
        </is>
      </c>
      <c r="L121" s="8" t="inlineStr">
        <is>
          <t>1、已登录。本条只跑缺失场。
2、本场缺少「盈利较大手牌列表」源数据。全场没有一手盈利。</t>
        </is>
      </c>
      <c r="M121" s="8" t="inlineStr">
        <is>
          <t>1、上传素材，生成复盘报告，等到能打开。
2、打开「盈利较大手牌列表」，检查是否为空或不出现。</t>
        </is>
      </c>
      <c r="N121" s="8" t="inlineStr">
        <is>
          <t>盈利较大手牌列表为空或不出现</t>
        </is>
      </c>
      <c r="O121" s="8" t="inlineStr">
        <is>
          <t>profit_ev_summary.top_profit_hands</t>
        </is>
      </c>
      <c r="P121" s="10" t="inlineStr">
        <is>
          <t>未执行</t>
        </is>
      </c>
      <c r="Q121" s="10" t="inlineStr"/>
      <c r="R121" s="11" t="inlineStr"/>
    </row>
    <row r="122" ht="72" customHeight="1">
      <c r="A122" s="5" t="inlineStr">
        <is>
          <t>TC-RPT-118</t>
        </is>
      </c>
      <c r="B122" s="5" t="inlineStr">
        <is>
          <t>top_loss_hands</t>
        </is>
      </c>
      <c r="C122" s="5" t="inlineStr">
        <is>
          <t>损失较大手牌列表</t>
        </is>
      </c>
      <c r="D122" s="13" t="inlineStr">
        <is>
          <t>P1</t>
        </is>
      </c>
      <c r="E122" s="7" t="inlineStr">
        <is>
          <t>等价类划分法</t>
        </is>
      </c>
      <c r="F122" s="7" t="inlineStr">
        <is>
          <t>盈亏EV</t>
        </is>
      </c>
      <c r="G122" s="7" t="inlineStr">
        <is>
          <t>内部</t>
        </is>
      </c>
      <c r="H122" s="8" t="inlineStr">
        <is>
          <t>本场亏损靠前的手牌集合及每手盈亏</t>
        </is>
      </c>
      <c r="I122" s="8" t="inlineStr">
        <is>
          <t>按 per_hand_profit 升序取 Top N</t>
        </is>
      </c>
      <c r="J122" s="8" t="inlineStr">
        <is>
          <t>损失较大手牌列表正例-按亏损从低到高取前几手</t>
        </is>
      </c>
      <c r="K122" s="9" t="inlineStr">
        <is>
          <t>正例</t>
        </is>
      </c>
      <c r="L122" s="8" t="inlineStr">
        <is>
          <t>1、已登录，当前用户是 Hero。只用正例场。
2、素材里按口径手算「损失较大手牌列表」=n</t>
        </is>
      </c>
      <c r="M122" s="8" t="inlineStr">
        <is>
          <t>1、上传素材，生成复盘报告，等到能打开。
2、打开「损失较大手牌列表」，检查是否为n。</t>
        </is>
      </c>
      <c r="N122" s="8" t="inlineStr">
        <is>
          <t>损失较大手牌列表=n</t>
        </is>
      </c>
      <c r="O122" s="8" t="inlineStr">
        <is>
          <t>profit_ev_summary.top_loss_hands</t>
        </is>
      </c>
      <c r="P122" s="10" t="inlineStr">
        <is>
          <t>未执行</t>
        </is>
      </c>
      <c r="Q122" s="10" t="inlineStr"/>
      <c r="R122" s="11" t="inlineStr"/>
    </row>
    <row r="123" ht="72" customHeight="1">
      <c r="A123" s="5" t="inlineStr">
        <is>
          <t>TC-RPT-119</t>
        </is>
      </c>
      <c r="B123" s="5" t="inlineStr">
        <is>
          <t>top_loss_hands</t>
        </is>
      </c>
      <c r="C123" s="5" t="inlineStr">
        <is>
          <t>损失较大手牌列表</t>
        </is>
      </c>
      <c r="D123" s="13" t="inlineStr">
        <is>
          <t>P1</t>
        </is>
      </c>
      <c r="E123" s="7" t="inlineStr">
        <is>
          <t>等价类划分法</t>
        </is>
      </c>
      <c r="F123" s="7" t="inlineStr">
        <is>
          <t>盈亏EV</t>
        </is>
      </c>
      <c r="G123" s="7" t="inlineStr">
        <is>
          <t>内部</t>
        </is>
      </c>
      <c r="H123" s="8" t="inlineStr">
        <is>
          <t>本场亏损靠前的手牌集合及每手盈亏</t>
        </is>
      </c>
      <c r="I123" s="8" t="inlineStr">
        <is>
          <t>按 per_hand_profit 升序取 Top N</t>
        </is>
      </c>
      <c r="J123" s="8" t="inlineStr">
        <is>
          <t>损失较大手牌列表反例-盈利手进亏损榜</t>
        </is>
      </c>
      <c r="K123" s="12" t="inlineStr">
        <is>
          <t>反例</t>
        </is>
      </c>
      <c r="L123" s="8" t="inlineStr">
        <is>
          <t>1、已登录，当前用户是 Hero。准备下列不该计入的素材。
2、素材含盈利手。亏损榜不应出现盈利手，「损失较大手牌列表」仍=n</t>
        </is>
      </c>
      <c r="M123" s="8" t="inlineStr">
        <is>
          <t>1、上传素材，生成复盘报告，等到能打开。
2、打开「损失较大手牌列表」，检查是否为n。</t>
        </is>
      </c>
      <c r="N123" s="8" t="inlineStr">
        <is>
          <t>损失较大手牌列表=n</t>
        </is>
      </c>
      <c r="O123" s="8" t="inlineStr">
        <is>
          <t>profit_ev_summary.top_loss_hands</t>
        </is>
      </c>
      <c r="P123" s="10" t="inlineStr">
        <is>
          <t>未执行</t>
        </is>
      </c>
      <c r="Q123" s="10" t="inlineStr"/>
      <c r="R123" s="11" t="inlineStr"/>
    </row>
    <row r="124" ht="72" customHeight="1">
      <c r="A124" s="5" t="inlineStr">
        <is>
          <t>TC-RPT-120</t>
        </is>
      </c>
      <c r="B124" s="5" t="inlineStr">
        <is>
          <t>top_loss_hands</t>
        </is>
      </c>
      <c r="C124" s="5" t="inlineStr">
        <is>
          <t>损失较大手牌列表</t>
        </is>
      </c>
      <c r="D124" s="13" t="inlineStr">
        <is>
          <t>P1</t>
        </is>
      </c>
      <c r="E124" s="7" t="inlineStr">
        <is>
          <t>错误推断法</t>
        </is>
      </c>
      <c r="F124" s="7" t="inlineStr">
        <is>
          <t>盈亏EV</t>
        </is>
      </c>
      <c r="G124" s="7" t="inlineStr">
        <is>
          <t>内部</t>
        </is>
      </c>
      <c r="H124" s="8" t="inlineStr">
        <is>
          <t>本场亏损靠前的手牌集合及每手盈亏</t>
        </is>
      </c>
      <c r="I124" s="8" t="inlineStr">
        <is>
          <t>按 per_hand_profit 升序取 Top N</t>
        </is>
      </c>
      <c r="J124" s="8" t="inlineStr">
        <is>
          <t>损失较大手牌列表反例-源数据缺失不得编造</t>
        </is>
      </c>
      <c r="K124" s="12" t="inlineStr">
        <is>
          <t>反例</t>
        </is>
      </c>
      <c r="L124" s="8" t="inlineStr">
        <is>
          <t>1、已登录。本条只跑缺失场。
2、本场缺少「损失较大手牌列表」源数据。全场没有一手亏损。</t>
        </is>
      </c>
      <c r="M124" s="8" t="inlineStr">
        <is>
          <t>1、上传素材，生成复盘报告，等到能打开。
2、打开「损失较大手牌列表」，检查是否为空或不出现。</t>
        </is>
      </c>
      <c r="N124" s="8" t="inlineStr">
        <is>
          <t>损失较大手牌列表为空或不出现</t>
        </is>
      </c>
      <c r="O124" s="8" t="inlineStr">
        <is>
          <t>profit_ev_summary.top_loss_hands</t>
        </is>
      </c>
      <c r="P124" s="10" t="inlineStr">
        <is>
          <t>未执行</t>
        </is>
      </c>
      <c r="Q124" s="10" t="inlineStr"/>
      <c r="R124" s="11" t="inlineStr"/>
    </row>
    <row r="125" ht="72" customHeight="1">
      <c r="A125" s="5" t="inlineStr">
        <is>
          <t>TC-RPT-121</t>
        </is>
      </c>
      <c r="B125" s="5" t="inlineStr">
        <is>
          <t>profit_concentration_ratio</t>
        </is>
      </c>
      <c r="C125" s="5" t="inlineStr">
        <is>
          <t>盈亏集中度</t>
        </is>
      </c>
      <c r="D125" s="14" t="inlineStr">
        <is>
          <t>P2</t>
        </is>
      </c>
      <c r="E125" s="7" t="inlineStr">
        <is>
          <t>判定表法</t>
        </is>
      </c>
      <c r="F125" s="7" t="inlineStr">
        <is>
          <t>盈亏EV</t>
        </is>
      </c>
      <c r="G125" s="7" t="inlineStr">
        <is>
          <t>内部</t>
        </is>
      </c>
      <c r="H125" s="8" t="inlineStr">
        <is>
          <t>判断本场盈亏是否由少数关键手牌拉开</t>
        </is>
      </c>
      <c r="I125" s="8" t="inlineStr">
        <is>
          <t>Top 3 盈亏绝对值 / 全场单手盈亏绝对值总和</t>
        </is>
      </c>
      <c r="J125" s="8" t="inlineStr">
        <is>
          <t>盈亏集中度正例-Top3绝对盈亏占全场绝对盈亏</t>
        </is>
      </c>
      <c r="K125" s="9" t="inlineStr">
        <is>
          <t>正例</t>
        </is>
      </c>
      <c r="L125" s="8" t="inlineStr">
        <is>
          <t>1、已登录，当前用户是 Hero。只用正例场。
2、素材里满足「盈亏集中度」全部条件的条数=n</t>
        </is>
      </c>
      <c r="M125" s="8" t="inlineStr">
        <is>
          <t>1、上传素材，生成复盘报告，等到能打开。
2、打开「盈亏集中度」，检查是否为n。</t>
        </is>
      </c>
      <c r="N125" s="8" t="inlineStr">
        <is>
          <t>盈亏集中度=n</t>
        </is>
      </c>
      <c r="O125" s="8" t="inlineStr">
        <is>
          <t>profit_ev_summary.profit_concentration_ratio</t>
        </is>
      </c>
      <c r="P125" s="10" t="inlineStr">
        <is>
          <t>未执行</t>
        </is>
      </c>
      <c r="Q125" s="10" t="inlineStr"/>
      <c r="R125" s="11" t="inlineStr"/>
    </row>
    <row r="126" ht="72" customHeight="1">
      <c r="A126" s="5" t="inlineStr">
        <is>
          <t>TC-RPT-122</t>
        </is>
      </c>
      <c r="B126" s="5" t="inlineStr">
        <is>
          <t>profit_concentration_ratio</t>
        </is>
      </c>
      <c r="C126" s="5" t="inlineStr">
        <is>
          <t>盈亏集中度</t>
        </is>
      </c>
      <c r="D126" s="14" t="inlineStr">
        <is>
          <t>P2</t>
        </is>
      </c>
      <c r="E126" s="7" t="inlineStr">
        <is>
          <t>判定表法</t>
        </is>
      </c>
      <c r="F126" s="7" t="inlineStr">
        <is>
          <t>盈亏EV</t>
        </is>
      </c>
      <c r="G126" s="7" t="inlineStr">
        <is>
          <t>内部</t>
        </is>
      </c>
      <c r="H126" s="8" t="inlineStr">
        <is>
          <t>判断本场盈亏是否由少数关键手牌拉开</t>
        </is>
      </c>
      <c r="I126" s="8" t="inlineStr">
        <is>
          <t>Top 3 盈亏绝对值 / 全场单手盈亏绝对值总和</t>
        </is>
      </c>
      <c r="J126" s="8" t="inlineStr">
        <is>
          <t>盈亏集中度反例-Top3带符号相加互相抵消</t>
        </is>
      </c>
      <c r="K126" s="12" t="inlineStr">
        <is>
          <t>反例</t>
        </is>
      </c>
      <c r="L126" s="8" t="inlineStr">
        <is>
          <t xml:space="preserve">1、已登录，当前用户是 Hero。准备下列不该计入的素材。
2、只满足一半条件，应计入条数=0
</t>
        </is>
      </c>
      <c r="M126" s="8" t="inlineStr">
        <is>
          <t>1、上传素材，生成复盘报告，等到能打开。
2、打开「盈亏集中度」，检查是否为0。</t>
        </is>
      </c>
      <c r="N126" s="8" t="inlineStr">
        <is>
          <t>盈亏集中度=0</t>
        </is>
      </c>
      <c r="O126" s="8" t="inlineStr">
        <is>
          <t>profit_ev_summary.profit_concentration_ratio</t>
        </is>
      </c>
      <c r="P126" s="10" t="inlineStr">
        <is>
          <t>未执行</t>
        </is>
      </c>
      <c r="Q126" s="10" t="inlineStr"/>
      <c r="R126" s="11" t="inlineStr"/>
    </row>
    <row r="127" ht="72" customHeight="1">
      <c r="A127" s="5" t="inlineStr">
        <is>
          <t>TC-RPT-123</t>
        </is>
      </c>
      <c r="B127" s="5" t="inlineStr">
        <is>
          <t>profit_concentration_ratio</t>
        </is>
      </c>
      <c r="C127" s="5" t="inlineStr">
        <is>
          <t>盈亏集中度</t>
        </is>
      </c>
      <c r="D127" s="14" t="inlineStr">
        <is>
          <t>P2</t>
        </is>
      </c>
      <c r="E127" s="7" t="inlineStr">
        <is>
          <t>因果图法</t>
        </is>
      </c>
      <c r="F127" s="7" t="inlineStr">
        <is>
          <t>盈亏EV</t>
        </is>
      </c>
      <c r="G127" s="7" t="inlineStr">
        <is>
          <t>内部</t>
        </is>
      </c>
      <c r="H127" s="8" t="inlineStr">
        <is>
          <t>判断本场盈亏是否由少数关键手牌拉开</t>
        </is>
      </c>
      <c r="I127" s="8" t="inlineStr">
        <is>
          <t>Top 3 盈亏绝对值 / 全场单手盈亏绝对值总和</t>
        </is>
      </c>
      <c r="J127" s="8" t="inlineStr">
        <is>
          <t>盈亏集中度反例-只满足一半条件不含</t>
        </is>
      </c>
      <c r="K127" s="12" t="inlineStr">
        <is>
          <t>反例</t>
        </is>
      </c>
      <c r="L127" s="8" t="inlineStr">
        <is>
          <t xml:space="preserve">1、已登录，当前用户是 Hero。
2、只满足一半条件，应计入条数=0
</t>
        </is>
      </c>
      <c r="M127" s="8" t="inlineStr">
        <is>
          <t>1、上传素材，生成复盘报告，等到能打开。
2、打开「盈亏集中度」，检查是否为0。</t>
        </is>
      </c>
      <c r="N127" s="8" t="inlineStr">
        <is>
          <t>盈亏集中度=0</t>
        </is>
      </c>
      <c r="O127" s="8" t="inlineStr">
        <is>
          <t>profit_ev_summary.profit_concentration_ratio</t>
        </is>
      </c>
      <c r="P127" s="10" t="inlineStr">
        <is>
          <t>未执行</t>
        </is>
      </c>
      <c r="Q127" s="10" t="inlineStr"/>
      <c r="R127" s="11" t="inlineStr"/>
    </row>
    <row r="128" ht="72" customHeight="1">
      <c r="A128" s="5" t="inlineStr">
        <is>
          <t>TC-RPT-124</t>
        </is>
      </c>
      <c r="B128" s="5" t="inlineStr">
        <is>
          <t>total_ev</t>
        </is>
      </c>
      <c r="C128" s="5" t="inlineStr">
        <is>
          <t>本场总期望值</t>
        </is>
      </c>
      <c r="D128" s="13" t="inlineStr">
        <is>
          <t>P1</t>
        </is>
      </c>
      <c r="E128" s="7" t="inlineStr">
        <is>
          <t>等价类划分法</t>
        </is>
      </c>
      <c r="F128" s="7" t="inlineStr">
        <is>
          <t>盈亏EV</t>
        </is>
      </c>
      <c r="G128" s="7" t="inlineStr">
        <is>
          <t>是</t>
        </is>
      </c>
      <c r="H128" s="8" t="inlineStr">
        <is>
          <t>整场 EV 表现</t>
        </is>
      </c>
      <c r="I128" s="8" t="inlineStr">
        <is>
          <t>汇总 per_hand_ev</t>
        </is>
      </c>
      <c r="J128" s="8" t="inlineStr">
        <is>
          <t>本场总期望值正例-各手GTO EV加总</t>
        </is>
      </c>
      <c r="K128" s="9" t="inlineStr">
        <is>
          <t>正例</t>
        </is>
      </c>
      <c r="L128" s="8" t="inlineStr">
        <is>
          <t>1、已登录，当前用户是 Hero。只用正例场。
2、素材里按口径手算「本场总期望值」=n</t>
        </is>
      </c>
      <c r="M128" s="8" t="inlineStr">
        <is>
          <t>1、上传素材，生成复盘报告，等到能打开。
2、打开「本场总期望值」，检查是否为n。</t>
        </is>
      </c>
      <c r="N128" s="8" t="inlineStr">
        <is>
          <t>本场总期望值=n</t>
        </is>
      </c>
      <c r="O128" s="8" t="inlineStr">
        <is>
          <t>profit_ev_summary.total_ev</t>
        </is>
      </c>
      <c r="P128" s="10" t="inlineStr">
        <is>
          <t>未执行</t>
        </is>
      </c>
      <c r="Q128" s="10" t="inlineStr"/>
      <c r="R128" s="11" t="inlineStr"/>
    </row>
    <row r="129" ht="72" customHeight="1">
      <c r="A129" s="5" t="inlineStr">
        <is>
          <t>TC-RPT-125</t>
        </is>
      </c>
      <c r="B129" s="5" t="inlineStr">
        <is>
          <t>total_ev</t>
        </is>
      </c>
      <c r="C129" s="5" t="inlineStr">
        <is>
          <t>本场总期望值</t>
        </is>
      </c>
      <c r="D129" s="13" t="inlineStr">
        <is>
          <t>P1</t>
        </is>
      </c>
      <c r="E129" s="7" t="inlineStr">
        <is>
          <t>边界值分析法</t>
        </is>
      </c>
      <c r="F129" s="7" t="inlineStr">
        <is>
          <t>盈亏EV</t>
        </is>
      </c>
      <c r="G129" s="7" t="inlineStr">
        <is>
          <t>是</t>
        </is>
      </c>
      <c r="H129" s="8" t="inlineStr">
        <is>
          <t>整场 EV 表现</t>
        </is>
      </c>
      <c r="I129" s="8" t="inlineStr">
        <is>
          <t>汇总 per_hand_ev</t>
        </is>
      </c>
      <c r="J129" s="8" t="inlineStr">
        <is>
          <t>本场总期望值正例-单位与换算正确</t>
        </is>
      </c>
      <c r="K129" s="9" t="inlineStr">
        <is>
          <t>正例</t>
        </is>
      </c>
      <c r="L129" s="8" t="inlineStr">
        <is>
          <t>1、已登录，当前用户是 Hero。
2、各手筹码和大盲已记下，按该手换算后「本场总期望值」=n</t>
        </is>
      </c>
      <c r="M129" s="8" t="inlineStr">
        <is>
          <t>1、上传素材，生成复盘报告，等到能打开。
2、打开「本场总期望值」，检查是否为n。</t>
        </is>
      </c>
      <c r="N129" s="8" t="inlineStr">
        <is>
          <t>本场总期望值=n</t>
        </is>
      </c>
      <c r="O129" s="8" t="inlineStr">
        <is>
          <t>profit_ev_summary.total_ev</t>
        </is>
      </c>
      <c r="P129" s="10" t="inlineStr">
        <is>
          <t>未执行</t>
        </is>
      </c>
      <c r="Q129" s="10" t="inlineStr"/>
      <c r="R129" s="11" t="inlineStr"/>
    </row>
    <row r="130" ht="72" customHeight="1">
      <c r="A130" s="5" t="inlineStr">
        <is>
          <t>TC-RPT-126</t>
        </is>
      </c>
      <c r="B130" s="5" t="inlineStr">
        <is>
          <t>total_ev</t>
        </is>
      </c>
      <c r="C130" s="5" t="inlineStr">
        <is>
          <t>本场总期望值</t>
        </is>
      </c>
      <c r="D130" s="13" t="inlineStr">
        <is>
          <t>P1</t>
        </is>
      </c>
      <c r="E130" s="7" t="inlineStr">
        <is>
          <t>错误推断法</t>
        </is>
      </c>
      <c r="F130" s="7" t="inlineStr">
        <is>
          <t>盈亏EV</t>
        </is>
      </c>
      <c r="G130" s="7" t="inlineStr">
        <is>
          <t>是</t>
        </is>
      </c>
      <c r="H130" s="8" t="inlineStr">
        <is>
          <t>整场 EV 表现</t>
        </is>
      </c>
      <c r="I130" s="8" t="inlineStr">
        <is>
          <t>汇总 per_hand_ev</t>
        </is>
      </c>
      <c r="J130" s="8" t="inlineStr">
        <is>
          <t>本场总期望值反例-源数据缺失不得编造</t>
        </is>
      </c>
      <c r="K130" s="12" t="inlineStr">
        <is>
          <t>反例</t>
        </is>
      </c>
      <c r="L130" s="8" t="inlineStr">
        <is>
          <t>1、已登录。本条只跑缺失场。
2、本场缺少「本场总期望值」源数据。整场没有任何 per_hand_ev。</t>
        </is>
      </c>
      <c r="M130" s="8" t="inlineStr">
        <is>
          <t>1、上传素材，生成复盘报告，等到能打开。
2、打开「本场总期望值」，检查是否为空或不出现。</t>
        </is>
      </c>
      <c r="N130" s="8" t="inlineStr">
        <is>
          <t>本场总期望值为空或不出现</t>
        </is>
      </c>
      <c r="O130" s="8" t="inlineStr">
        <is>
          <t>profit_ev_summary.total_ev</t>
        </is>
      </c>
      <c r="P130" s="10" t="inlineStr">
        <is>
          <t>未执行</t>
        </is>
      </c>
      <c r="Q130" s="10" t="inlineStr"/>
      <c r="R130" s="11" t="inlineStr"/>
    </row>
    <row r="131" ht="72" customHeight="1">
      <c r="A131" s="5" t="inlineStr">
        <is>
          <t>TC-RPT-127</t>
        </is>
      </c>
      <c r="B131" s="5" t="inlineStr">
        <is>
          <t>per_hand_ev</t>
        </is>
      </c>
      <c r="C131" s="5" t="inlineStr">
        <is>
          <t>单手期望值</t>
        </is>
      </c>
      <c r="D131" s="13" t="inlineStr">
        <is>
          <t>P1</t>
        </is>
      </c>
      <c r="E131" s="7" t="inlineStr">
        <is>
          <t>等价类划分法</t>
        </is>
      </c>
      <c r="F131" s="7" t="inlineStr">
        <is>
          <t>盈亏EV</t>
        </is>
      </c>
      <c r="G131" s="7" t="inlineStr">
        <is>
          <t>内部</t>
        </is>
      </c>
      <c r="H131" s="8" t="inlineStr">
        <is>
          <t>单手牌 EV 表现</t>
        </is>
      </c>
      <c r="I131" s="8" t="inlineStr">
        <is>
          <t>每手 GTO EV返回结果</t>
        </is>
      </c>
      <c r="J131" s="8" t="inlineStr">
        <is>
          <t>单手期望值正例-单手GTO返回EV</t>
        </is>
      </c>
      <c r="K131" s="9" t="inlineStr">
        <is>
          <t>正例</t>
        </is>
      </c>
      <c r="L131" s="8" t="inlineStr">
        <is>
          <t>1、已登录，当前用户是 Hero。只用正例场。
2、素材里按口径手算「单手期望值」=n</t>
        </is>
      </c>
      <c r="M131" s="8" t="inlineStr">
        <is>
          <t>1、上传素材，生成复盘报告，等到能打开。
2、打开「单手期望值」，检查是否为n。</t>
        </is>
      </c>
      <c r="N131" s="8" t="inlineStr">
        <is>
          <t>单手期望值=n</t>
        </is>
      </c>
      <c r="O131" s="8" t="inlineStr">
        <is>
          <t>profit_ev_summary.per_hand_ev</t>
        </is>
      </c>
      <c r="P131" s="10" t="inlineStr">
        <is>
          <t>未执行</t>
        </is>
      </c>
      <c r="Q131" s="10" t="inlineStr"/>
      <c r="R131" s="11" t="inlineStr"/>
    </row>
    <row r="132" ht="72" customHeight="1">
      <c r="A132" s="5" t="inlineStr">
        <is>
          <t>TC-RPT-128</t>
        </is>
      </c>
      <c r="B132" s="5" t="inlineStr">
        <is>
          <t>per_hand_ev</t>
        </is>
      </c>
      <c r="C132" s="5" t="inlineStr">
        <is>
          <t>单手期望值</t>
        </is>
      </c>
      <c r="D132" s="13" t="inlineStr">
        <is>
          <t>P1</t>
        </is>
      </c>
      <c r="E132" s="7" t="inlineStr">
        <is>
          <t>边界值分析法</t>
        </is>
      </c>
      <c r="F132" s="7" t="inlineStr">
        <is>
          <t>盈亏EV</t>
        </is>
      </c>
      <c r="G132" s="7" t="inlineStr">
        <is>
          <t>内部</t>
        </is>
      </c>
      <c r="H132" s="8" t="inlineStr">
        <is>
          <t>单手牌 EV 表现</t>
        </is>
      </c>
      <c r="I132" s="8" t="inlineStr">
        <is>
          <t>每手 GTO EV返回结果</t>
        </is>
      </c>
      <c r="J132" s="8" t="inlineStr">
        <is>
          <t>单手期望值正例-单位与换算正确</t>
        </is>
      </c>
      <c r="K132" s="9" t="inlineStr">
        <is>
          <t>正例</t>
        </is>
      </c>
      <c r="L132" s="8" t="inlineStr">
        <is>
          <t>1、已登录，当前用户是 Hero。
2、各手筹码和大盲已记下，按该手换算后「单手期望值」=n</t>
        </is>
      </c>
      <c r="M132" s="8" t="inlineStr">
        <is>
          <t>1、上传素材，生成复盘报告，等到能打开。
2、打开「单手期望值」，检查是否为n。</t>
        </is>
      </c>
      <c r="N132" s="8" t="inlineStr">
        <is>
          <t>单手期望值=n</t>
        </is>
      </c>
      <c r="O132" s="8" t="inlineStr">
        <is>
          <t>profit_ev_summary.per_hand_ev</t>
        </is>
      </c>
      <c r="P132" s="10" t="inlineStr">
        <is>
          <t>未执行</t>
        </is>
      </c>
      <c r="Q132" s="10" t="inlineStr"/>
      <c r="R132" s="11" t="inlineStr"/>
    </row>
    <row r="133" ht="72" customHeight="1">
      <c r="A133" s="5" t="inlineStr">
        <is>
          <t>TC-RPT-129</t>
        </is>
      </c>
      <c r="B133" s="5" t="inlineStr">
        <is>
          <t>per_hand_ev</t>
        </is>
      </c>
      <c r="C133" s="5" t="inlineStr">
        <is>
          <t>单手期望值</t>
        </is>
      </c>
      <c r="D133" s="13" t="inlineStr">
        <is>
          <t>P1</t>
        </is>
      </c>
      <c r="E133" s="7" t="inlineStr">
        <is>
          <t>错误推断法</t>
        </is>
      </c>
      <c r="F133" s="7" t="inlineStr">
        <is>
          <t>盈亏EV</t>
        </is>
      </c>
      <c r="G133" s="7" t="inlineStr">
        <is>
          <t>内部</t>
        </is>
      </c>
      <c r="H133" s="8" t="inlineStr">
        <is>
          <t>单手牌 EV 表现</t>
        </is>
      </c>
      <c r="I133" s="8" t="inlineStr">
        <is>
          <t>每手 GTO EV返回结果</t>
        </is>
      </c>
      <c r="J133" s="8" t="inlineStr">
        <is>
          <t>单手期望值反例-源数据缺失不得编造</t>
        </is>
      </c>
      <c r="K133" s="12" t="inlineStr">
        <is>
          <t>反例</t>
        </is>
      </c>
      <c r="L133" s="8" t="inlineStr">
        <is>
          <t>1、已登录。本条只跑缺失场。
2、本场缺少「单手期望值」源数据。该手无 GTO EV。</t>
        </is>
      </c>
      <c r="M133" s="8" t="inlineStr">
        <is>
          <t>1、上传素材，生成复盘报告，等到能打开。
2、打开「单手期望值」，检查是否为空或不出现。</t>
        </is>
      </c>
      <c r="N133" s="8" t="inlineStr">
        <is>
          <t>单手期望值为空或不出现</t>
        </is>
      </c>
      <c r="O133" s="8" t="inlineStr">
        <is>
          <t>profit_ev_summary.per_hand_ev</t>
        </is>
      </c>
      <c r="P133" s="10" t="inlineStr">
        <is>
          <t>未执行</t>
        </is>
      </c>
      <c r="Q133" s="10" t="inlineStr"/>
      <c r="R133" s="11" t="inlineStr"/>
    </row>
    <row r="134" ht="72" customHeight="1">
      <c r="A134" s="5" t="inlineStr">
        <is>
          <t>TC-RPT-130</t>
        </is>
      </c>
      <c r="B134" s="5" t="inlineStr">
        <is>
          <t>actual_vs_ev_gap</t>
        </is>
      </c>
      <c r="C134" s="5" t="inlineStr">
        <is>
          <t>实际盈亏与期望差值</t>
        </is>
      </c>
      <c r="D134" s="13" t="inlineStr">
        <is>
          <t>P1</t>
        </is>
      </c>
      <c r="E134" s="7" t="inlineStr">
        <is>
          <t>等价类划分法</t>
        </is>
      </c>
      <c r="F134" s="7" t="inlineStr">
        <is>
          <t>盈亏EV</t>
        </is>
      </c>
      <c r="G134" s="7" t="inlineStr">
        <is>
          <t>是</t>
        </is>
      </c>
      <c r="H134" s="8" t="inlineStr">
        <is>
          <t>实际结果与期望表现的差异</t>
        </is>
      </c>
      <c r="I134" s="8" t="inlineStr">
        <is>
          <t>total_profit_bb - total_ev_bb；或筹码口径同理</t>
        </is>
      </c>
      <c r="J134" s="8" t="inlineStr">
        <is>
          <t>实际盈亏与期望差值正例-实际盈亏BB减EV BB</t>
        </is>
      </c>
      <c r="K134" s="9" t="inlineStr">
        <is>
          <t>正例</t>
        </is>
      </c>
      <c r="L134" s="8" t="inlineStr">
        <is>
          <t>1、已登录，当前用户是 Hero。只用正例场。
2、素材里按口径手算「实际盈亏与期望差值」=n</t>
        </is>
      </c>
      <c r="M134" s="8" t="inlineStr">
        <is>
          <t>1、上传素材，生成复盘报告，等到能打开。
2、打开「实际盈亏与期望差值」，检查是否为n。</t>
        </is>
      </c>
      <c r="N134" s="8" t="inlineStr">
        <is>
          <t>实际盈亏与期望差值=n</t>
        </is>
      </c>
      <c r="O134" s="8" t="inlineStr">
        <is>
          <t>profit_ev_summary.actual_vs_ev_gap</t>
        </is>
      </c>
      <c r="P134" s="10" t="inlineStr">
        <is>
          <t>未执行</t>
        </is>
      </c>
      <c r="Q134" s="10" t="inlineStr"/>
      <c r="R134" s="11" t="inlineStr"/>
    </row>
    <row r="135" ht="72" customHeight="1">
      <c r="A135" s="5" t="inlineStr">
        <is>
          <t>TC-RPT-131</t>
        </is>
      </c>
      <c r="B135" s="5" t="inlineStr">
        <is>
          <t>actual_vs_ev_gap</t>
        </is>
      </c>
      <c r="C135" s="5" t="inlineStr">
        <is>
          <t>实际盈亏与期望差值</t>
        </is>
      </c>
      <c r="D135" s="13" t="inlineStr">
        <is>
          <t>P1</t>
        </is>
      </c>
      <c r="E135" s="7" t="inlineStr">
        <is>
          <t>边界值分析法</t>
        </is>
      </c>
      <c r="F135" s="7" t="inlineStr">
        <is>
          <t>盈亏EV</t>
        </is>
      </c>
      <c r="G135" s="7" t="inlineStr">
        <is>
          <t>是</t>
        </is>
      </c>
      <c r="H135" s="8" t="inlineStr">
        <is>
          <t>实际结果与期望表现的差异</t>
        </is>
      </c>
      <c r="I135" s="8" t="inlineStr">
        <is>
          <t>total_profit_bb - total_ev_bb；或筹码口径同理</t>
        </is>
      </c>
      <c r="J135" s="8" t="inlineStr">
        <is>
          <t>实际盈亏与期望差值正例-单位与换算正确</t>
        </is>
      </c>
      <c r="K135" s="9" t="inlineStr">
        <is>
          <t>正例</t>
        </is>
      </c>
      <c r="L135" s="8" t="inlineStr">
        <is>
          <t>1、已登录，当前用户是 Hero。
2、各手筹码和大盲已记下，按该手换算后「实际盈亏与期望差值」=n</t>
        </is>
      </c>
      <c r="M135" s="8" t="inlineStr">
        <is>
          <t>1、上传素材，生成复盘报告，等到能打开。
2、打开「实际盈亏与期望差值」，检查是否为n。</t>
        </is>
      </c>
      <c r="N135" s="8" t="inlineStr">
        <is>
          <t>实际盈亏与期望差值=n</t>
        </is>
      </c>
      <c r="O135" s="8" t="inlineStr">
        <is>
          <t>profit_ev_summary.actual_vs_ev_gap</t>
        </is>
      </c>
      <c r="P135" s="10" t="inlineStr">
        <is>
          <t>未执行</t>
        </is>
      </c>
      <c r="Q135" s="10" t="inlineStr"/>
      <c r="R135" s="11" t="inlineStr"/>
    </row>
    <row r="136" ht="72" customHeight="1">
      <c r="A136" s="5" t="inlineStr">
        <is>
          <t>TC-RPT-132</t>
        </is>
      </c>
      <c r="B136" s="5" t="inlineStr">
        <is>
          <t>actual_vs_ev_gap</t>
        </is>
      </c>
      <c r="C136" s="5" t="inlineStr">
        <is>
          <t>实际盈亏与期望差值</t>
        </is>
      </c>
      <c r="D136" s="13" t="inlineStr">
        <is>
          <t>P1</t>
        </is>
      </c>
      <c r="E136" s="7" t="inlineStr">
        <is>
          <t>错误推断法</t>
        </is>
      </c>
      <c r="F136" s="7" t="inlineStr">
        <is>
          <t>盈亏EV</t>
        </is>
      </c>
      <c r="G136" s="7" t="inlineStr">
        <is>
          <t>是</t>
        </is>
      </c>
      <c r="H136" s="8" t="inlineStr">
        <is>
          <t>实际结果与期望表现的差异</t>
        </is>
      </c>
      <c r="I136" s="8" t="inlineStr">
        <is>
          <t>total_profit_bb - total_ev_bb；或筹码口径同理</t>
        </is>
      </c>
      <c r="J136" s="8" t="inlineStr">
        <is>
          <t>实际盈亏与期望差值反例-源数据缺失不得编造</t>
        </is>
      </c>
      <c r="K136" s="12" t="inlineStr">
        <is>
          <t>反例</t>
        </is>
      </c>
      <c r="L136" s="8" t="inlineStr">
        <is>
          <t>1、已登录。本条只跑缺失场。
2、本场缺少「实际盈亏与期望差值」源数据。缺实际盈亏或缺 EV。</t>
        </is>
      </c>
      <c r="M136" s="8" t="inlineStr">
        <is>
          <t>1、上传素材，生成复盘报告，等到能打开。
2、打开「实际盈亏与期望差值」，检查是否为空或不出现。</t>
        </is>
      </c>
      <c r="N136" s="8" t="inlineStr">
        <is>
          <t>实际盈亏与期望差值为空或不出现</t>
        </is>
      </c>
      <c r="O136" s="8" t="inlineStr">
        <is>
          <t>profit_ev_summary.actual_vs_ev_gap</t>
        </is>
      </c>
      <c r="P136" s="10" t="inlineStr">
        <is>
          <t>未执行</t>
        </is>
      </c>
      <c r="Q136" s="10" t="inlineStr"/>
      <c r="R136" s="11" t="inlineStr"/>
    </row>
    <row r="137" ht="72" customHeight="1">
      <c r="A137" s="5" t="inlineStr">
        <is>
          <t>TC-RPT-133</t>
        </is>
      </c>
      <c r="B137" s="5" t="inlineStr">
        <is>
          <t>ev_relation_type</t>
        </is>
      </c>
      <c r="C137" s="5" t="inlineStr">
        <is>
          <t>实际结果与期望关系</t>
        </is>
      </c>
      <c r="D137" s="13" t="inlineStr">
        <is>
          <t>P1</t>
        </is>
      </c>
      <c r="E137" s="7" t="inlineStr">
        <is>
          <t>判定表法</t>
        </is>
      </c>
      <c r="F137" s="7" t="inlineStr">
        <is>
          <t>盈亏EV</t>
        </is>
      </c>
      <c r="G137" s="7" t="inlineStr">
        <is>
          <t>内部</t>
        </is>
      </c>
      <c r="H137" s="8" t="inlineStr">
        <is>
          <t>判断结果是否接近 / 高于 / 低于期望</t>
        </is>
      </c>
      <c r="I137" s="8" t="inlineStr">
        <is>
          <t>根据 actual_vs_ev_gap 与阈值判断；阈值可按 BB 或占比配置</t>
        </is>
      </c>
      <c r="J137" s="8" t="inlineStr">
        <is>
          <t>实际结果与期望关系正例-差值落高于接近或低于期望</t>
        </is>
      </c>
      <c r="K137" s="9" t="inlineStr">
        <is>
          <t>正例</t>
        </is>
      </c>
      <c r="L137" s="8" t="inlineStr">
        <is>
          <t>1、已登录，当前用户是 Hero。只用正例场。
2、素材里 4 类决策点各至少 1 个，标签已定：符合GTO / 基本可接受 / 风险偏高 / 信息不够</t>
        </is>
      </c>
      <c r="M137" s="8" t="inlineStr">
        <is>
          <t>1、上传素材，生成复盘报告，等到能打开。
2、打开「实际结果与期望关系」，检查是否为前置里的标签。</t>
        </is>
      </c>
      <c r="N137" s="8" t="inlineStr">
        <is>
          <t>实际结果与期望关系=前置里的标签</t>
        </is>
      </c>
      <c r="O137" s="8" t="inlineStr">
        <is>
          <t>profit_ev_summary.ev_relation_type</t>
        </is>
      </c>
      <c r="P137" s="10" t="inlineStr">
        <is>
          <t>未执行</t>
        </is>
      </c>
      <c r="Q137" s="10" t="inlineStr"/>
      <c r="R137" s="11" t="inlineStr"/>
    </row>
    <row r="138" ht="72" customHeight="1">
      <c r="A138" s="5" t="inlineStr">
        <is>
          <t>TC-RPT-134</t>
        </is>
      </c>
      <c r="B138" s="5" t="inlineStr">
        <is>
          <t>ev_relation_type</t>
        </is>
      </c>
      <c r="C138" s="5" t="inlineStr">
        <is>
          <t>实际结果与期望关系</t>
        </is>
      </c>
      <c r="D138" s="13" t="inlineStr">
        <is>
          <t>P1</t>
        </is>
      </c>
      <c r="E138" s="7" t="inlineStr">
        <is>
          <t>边界值分析法</t>
        </is>
      </c>
      <c r="F138" s="7" t="inlineStr">
        <is>
          <t>盈亏EV</t>
        </is>
      </c>
      <c r="G138" s="7" t="inlineStr">
        <is>
          <t>内部</t>
        </is>
      </c>
      <c r="H138" s="8" t="inlineStr">
        <is>
          <t>判断结果是否接近 / 高于 / 低于期望</t>
        </is>
      </c>
      <c r="I138" s="8" t="inlineStr">
        <is>
          <t>根据 actual_vs_ev_gap 与阈值判断；阈值可按 BB 或占比配置</t>
        </is>
      </c>
      <c r="J138" s="8" t="inlineStr">
        <is>
          <t>实际结果与期望关系反例-缺EV仍标高于低于</t>
        </is>
      </c>
      <c r="K138" s="12" t="inlineStr">
        <is>
          <t>反例</t>
        </is>
      </c>
      <c r="L138" s="8" t="inlineStr">
        <is>
          <t>1、已登录，当前用户是 Hero。准备下列不该计入的素材。
2、边界样本标签已定：频率刚好 30%，或加注额刚好比推荐多/少 30%，对应值=n</t>
        </is>
      </c>
      <c r="M138" s="8" t="inlineStr">
        <is>
          <t>1、上传素材，生成复盘报告，等到能打开。
2、打开「实际结果与期望关系」，检查是否为n。</t>
        </is>
      </c>
      <c r="N138" s="8" t="inlineStr">
        <is>
          <t>实际结果与期望关系=n</t>
        </is>
      </c>
      <c r="O138" s="8" t="inlineStr">
        <is>
          <t>profit_ev_summary.ev_relation_type</t>
        </is>
      </c>
      <c r="P138" s="10" t="inlineStr">
        <is>
          <t>未执行</t>
        </is>
      </c>
      <c r="Q138" s="10" t="inlineStr"/>
      <c r="R138" s="11" t="inlineStr"/>
    </row>
    <row r="139" ht="72" customHeight="1">
      <c r="A139" s="5" t="inlineStr">
        <is>
          <t>TC-RPT-135</t>
        </is>
      </c>
      <c r="B139" s="5" t="inlineStr">
        <is>
          <t>luck_direction</t>
        </is>
      </c>
      <c r="C139" s="5" t="inlineStr">
        <is>
          <t>运气影响方向</t>
        </is>
      </c>
      <c r="D139" s="13" t="inlineStr">
        <is>
          <t>P1</t>
        </is>
      </c>
      <c r="E139" s="7" t="inlineStr">
        <is>
          <t>判定表法</t>
        </is>
      </c>
      <c r="F139" s="7" t="inlineStr">
        <is>
          <t>盈亏EV</t>
        </is>
      </c>
      <c r="G139" s="7" t="inlineStr">
        <is>
          <t>内部</t>
        </is>
      </c>
      <c r="H139" s="8" t="inlineStr">
        <is>
          <t>判断短期结果波动方向</t>
        </is>
      </c>
      <c r="I139" s="8" t="inlineStr">
        <is>
          <t>实际盈亏明显低于 EV = 运气不利；明显高于 EV = 结果较顺</t>
        </is>
      </c>
      <c r="J139" s="8" t="inlineStr">
        <is>
          <t>运气影响方向正例-实际与EV对比定运气方向</t>
        </is>
      </c>
      <c r="K139" s="9" t="inlineStr">
        <is>
          <t>正例</t>
        </is>
      </c>
      <c r="L139" s="8" t="inlineStr">
        <is>
          <t>1、已登录，当前用户是 Hero。只用正例场。
2、素材里 4 类决策点各至少 1 个，标签已定：符合GTO / 基本可接受 / 风险偏高 / 信息不够</t>
        </is>
      </c>
      <c r="M139" s="8" t="inlineStr">
        <is>
          <t>1、上传素材，生成复盘报告，等到能打开。
2、打开「运气影响方向」，检查是否为前置里的标签。</t>
        </is>
      </c>
      <c r="N139" s="8" t="inlineStr">
        <is>
          <t>运气影响方向=前置里的标签</t>
        </is>
      </c>
      <c r="O139" s="8" t="inlineStr">
        <is>
          <t>profit_ev_summary.luck_direction</t>
        </is>
      </c>
      <c r="P139" s="10" t="inlineStr">
        <is>
          <t>未执行</t>
        </is>
      </c>
      <c r="Q139" s="10" t="inlineStr"/>
      <c r="R139" s="11" t="inlineStr"/>
    </row>
    <row r="140" ht="72" customHeight="1">
      <c r="A140" s="5" t="inlineStr">
        <is>
          <t>TC-RPT-136</t>
        </is>
      </c>
      <c r="B140" s="5" t="inlineStr">
        <is>
          <t>luck_direction</t>
        </is>
      </c>
      <c r="C140" s="5" t="inlineStr">
        <is>
          <t>运气影响方向</t>
        </is>
      </c>
      <c r="D140" s="13" t="inlineStr">
        <is>
          <t>P1</t>
        </is>
      </c>
      <c r="E140" s="7" t="inlineStr">
        <is>
          <t>边界值分析法</t>
        </is>
      </c>
      <c r="F140" s="7" t="inlineStr">
        <is>
          <t>盈亏EV</t>
        </is>
      </c>
      <c r="G140" s="7" t="inlineStr">
        <is>
          <t>内部</t>
        </is>
      </c>
      <c r="H140" s="8" t="inlineStr">
        <is>
          <t>判断短期结果波动方向</t>
        </is>
      </c>
      <c r="I140" s="8" t="inlineStr">
        <is>
          <t>实际盈亏明显低于 EV = 运气不利；明显高于 EV = 结果较顺</t>
        </is>
      </c>
      <c r="J140" s="8" t="inlineStr">
        <is>
          <t>运气影响方向反例-只看输赢标运气</t>
        </is>
      </c>
      <c r="K140" s="12" t="inlineStr">
        <is>
          <t>反例</t>
        </is>
      </c>
      <c r="L140" s="8" t="inlineStr">
        <is>
          <t>1、已登录，当前用户是 Hero。准备下列不该计入的素材。
2、边界样本标签已定：频率刚好 30%，或加注额刚好比推荐多/少 30%，对应值=n</t>
        </is>
      </c>
      <c r="M140" s="8" t="inlineStr">
        <is>
          <t>1、上传素材，生成复盘报告，等到能打开。
2、打开「运气影响方向」，检查是否为n。</t>
        </is>
      </c>
      <c r="N140" s="8" t="inlineStr">
        <is>
          <t>运气影响方向=n</t>
        </is>
      </c>
      <c r="O140" s="8" t="inlineStr">
        <is>
          <t>profit_ev_summary.luck_direction</t>
        </is>
      </c>
      <c r="P140" s="10" t="inlineStr">
        <is>
          <t>未执行</t>
        </is>
      </c>
      <c r="Q140" s="10" t="inlineStr"/>
      <c r="R140" s="11" t="inlineStr"/>
    </row>
    <row r="141" ht="72" customHeight="1">
      <c r="A141" s="5" t="inlineStr">
        <is>
          <t>TC-RPT-137</t>
        </is>
      </c>
      <c r="B141" s="5" t="inlineStr">
        <is>
          <t>decision_impact_direction</t>
        </is>
      </c>
      <c r="C141" s="5" t="inlineStr">
        <is>
          <t>决策影响方向（AI标签）</t>
        </is>
      </c>
      <c r="D141" s="13" t="inlineStr">
        <is>
          <t>P1</t>
        </is>
      </c>
      <c r="E141" s="7" t="inlineStr">
        <is>
          <t>判定表法</t>
        </is>
      </c>
      <c r="F141" s="7" t="inlineStr">
        <is>
          <t>盈亏EV</t>
        </is>
      </c>
      <c r="G141" s="7" t="inlineStr">
        <is>
          <t>内部</t>
        </is>
      </c>
      <c r="H141" s="8" t="inlineStr">
        <is>
          <t>判断盈亏主要是否由决策质量影响</t>
        </is>
      </c>
      <c r="I141" s="8" t="inlineStr">
        <is>
          <t>结合 GTO 决策质量、关键亏损牌和 EV 关系判断；</t>
        </is>
      </c>
      <c r="J141" s="8" t="inlineStr">
        <is>
          <t>决策影响方向（AI标签）正例-结合质量与EV定决策影响</t>
        </is>
      </c>
      <c r="K141" s="9" t="inlineStr">
        <is>
          <t>正例</t>
        </is>
      </c>
      <c r="L141" s="8" t="inlineStr">
        <is>
          <t>1、已登录，当前用户是 Hero。只用正例场。
2、素材里 4 类决策点各至少 1 个，标签已定：符合GTO / 基本可接受 / 风险偏高 / 信息不够</t>
        </is>
      </c>
      <c r="M141" s="8" t="inlineStr">
        <is>
          <t>1、上传素材，生成复盘报告，等到能打开。
2、打开「决策影响方向（AI标签）」，检查是否为前置里的标签。</t>
        </is>
      </c>
      <c r="N141" s="8" t="inlineStr">
        <is>
          <t>决策影响方向（AI标签）=前置里的标签</t>
        </is>
      </c>
      <c r="O141" s="8" t="inlineStr">
        <is>
          <t>profit_ev_summary.decision_impact_direction</t>
        </is>
      </c>
      <c r="P141" s="10" t="inlineStr">
        <is>
          <t>未执行</t>
        </is>
      </c>
      <c r="Q141" s="10" t="inlineStr"/>
      <c r="R141" s="11" t="inlineStr"/>
    </row>
    <row r="142" ht="72" customHeight="1">
      <c r="A142" s="5" t="inlineStr">
        <is>
          <t>TC-RPT-138</t>
        </is>
      </c>
      <c r="B142" s="5" t="inlineStr">
        <is>
          <t>decision_impact_direction</t>
        </is>
      </c>
      <c r="C142" s="5" t="inlineStr">
        <is>
          <t>决策影响方向（AI标签）</t>
        </is>
      </c>
      <c r="D142" s="13" t="inlineStr">
        <is>
          <t>P1</t>
        </is>
      </c>
      <c r="E142" s="7" t="inlineStr">
        <is>
          <t>边界值分析法</t>
        </is>
      </c>
      <c r="F142" s="7" t="inlineStr">
        <is>
          <t>盈亏EV</t>
        </is>
      </c>
      <c r="G142" s="7" t="inlineStr">
        <is>
          <t>内部</t>
        </is>
      </c>
      <c r="H142" s="8" t="inlineStr">
        <is>
          <t>判断盈亏主要是否由决策质量影响</t>
        </is>
      </c>
      <c r="I142" s="8" t="inlineStr">
        <is>
          <t>结合 GTO 决策质量、关键亏损牌和 EV 关系判断；</t>
        </is>
      </c>
      <c r="J142" s="8" t="inlineStr">
        <is>
          <t>决策影响方向（AI标签）反例-无依据标决策影响</t>
        </is>
      </c>
      <c r="K142" s="12" t="inlineStr">
        <is>
          <t>反例</t>
        </is>
      </c>
      <c r="L142" s="8" t="inlineStr">
        <is>
          <t>1、已登录，当前用户是 Hero。准备下列不该计入的素材。
2、边界样本标签已定：频率刚好 30%，或加注额刚好比推荐多/少 30%，对应值=n</t>
        </is>
      </c>
      <c r="M142" s="8" t="inlineStr">
        <is>
          <t>1、上传素材，生成复盘报告，等到能打开。
2、打开「决策影响方向（AI标签）」，检查是否为n。</t>
        </is>
      </c>
      <c r="N142" s="8" t="inlineStr">
        <is>
          <t>决策影响方向（AI标签）=n</t>
        </is>
      </c>
      <c r="O142" s="8" t="inlineStr">
        <is>
          <t>profit_ev_summary.decision_impact_direction</t>
        </is>
      </c>
      <c r="P142" s="10" t="inlineStr">
        <is>
          <t>未执行</t>
        </is>
      </c>
      <c r="Q142" s="10" t="inlineStr"/>
      <c r="R142" s="11" t="inlineStr"/>
    </row>
    <row r="143" ht="72" customHeight="1">
      <c r="A143" s="5" t="inlineStr">
        <is>
          <t>TC-RPT-139</t>
        </is>
      </c>
      <c r="B143" s="5" t="inlineStr">
        <is>
          <t>good_decision_bad_result_hands</t>
        </is>
      </c>
      <c r="C143" s="5" t="inlineStr">
        <is>
          <t>打对但输钱的牌</t>
        </is>
      </c>
      <c r="D143" s="14" t="inlineStr">
        <is>
          <t>P2</t>
        </is>
      </c>
      <c r="E143" s="7" t="inlineStr">
        <is>
          <t>等价类划分法</t>
        </is>
      </c>
      <c r="F143" s="7" t="inlineStr">
        <is>
          <t>盈亏EV</t>
        </is>
      </c>
      <c r="G143" s="7" t="inlineStr">
        <is>
          <t>内部</t>
        </is>
      </c>
      <c r="H143" s="8" t="inlineStr">
        <is>
          <t>决策质量可接受但结果亏损的手牌</t>
        </is>
      </c>
      <c r="I143" s="8" t="inlineStr">
        <is>
          <t>单手牌每一次行动decision_quality_label in 符合gto_matched_count、可接受acceptable_count 且 per_hand_profit &lt; 0</t>
        </is>
      </c>
      <c r="J143" s="8" t="inlineStr">
        <is>
          <t>打对但输钱的牌正例-决策可接受且本手亏损</t>
        </is>
      </c>
      <c r="K143" s="9" t="inlineStr">
        <is>
          <t>正例</t>
        </is>
      </c>
      <c r="L143" s="8" t="inlineStr">
        <is>
          <t>1、已登录，当前用户是 Hero。只用正例场。
2、素材里按口径手算「打对但输钱的牌」=n</t>
        </is>
      </c>
      <c r="M143" s="8" t="inlineStr">
        <is>
          <t>1、上传素材，生成复盘报告，等到能打开。
2、打开「打对但输钱的牌」，检查是否为n。</t>
        </is>
      </c>
      <c r="N143" s="8" t="inlineStr">
        <is>
          <t>打对但输钱的牌=n</t>
        </is>
      </c>
      <c r="O143" s="8" t="inlineStr">
        <is>
          <t>profit_ev_summary.good_decision_bad_result_hands</t>
        </is>
      </c>
      <c r="P143" s="10" t="inlineStr">
        <is>
          <t>未执行</t>
        </is>
      </c>
      <c r="Q143" s="10" t="inlineStr"/>
      <c r="R143" s="11" t="inlineStr"/>
    </row>
    <row r="144" ht="72" customHeight="1">
      <c r="A144" s="5" t="inlineStr">
        <is>
          <t>TC-RPT-140</t>
        </is>
      </c>
      <c r="B144" s="5" t="inlineStr">
        <is>
          <t>good_decision_bad_result_hands</t>
        </is>
      </c>
      <c r="C144" s="5" t="inlineStr">
        <is>
          <t>打对但输钱的牌</t>
        </is>
      </c>
      <c r="D144" s="14" t="inlineStr">
        <is>
          <t>P2</t>
        </is>
      </c>
      <c r="E144" s="7" t="inlineStr">
        <is>
          <t>等价类划分法</t>
        </is>
      </c>
      <c r="F144" s="7" t="inlineStr">
        <is>
          <t>盈亏EV</t>
        </is>
      </c>
      <c r="G144" s="7" t="inlineStr">
        <is>
          <t>内部</t>
        </is>
      </c>
      <c r="H144" s="8" t="inlineStr">
        <is>
          <t>决策质量可接受但结果亏损的手牌</t>
        </is>
      </c>
      <c r="I144" s="8" t="inlineStr">
        <is>
          <t>单手牌每一次行动decision_quality_label in 符合gto_matched_count、可接受acceptable_count 且 per_hand_profit &lt; 0</t>
        </is>
      </c>
      <c r="J144" s="8" t="inlineStr">
        <is>
          <t>打对但输钱的牌反例-高风险亏损当决策好但本手输</t>
        </is>
      </c>
      <c r="K144" s="12" t="inlineStr">
        <is>
          <t>反例</t>
        </is>
      </c>
      <c r="L144" s="8" t="inlineStr">
        <is>
          <t>1、已登录，当前用户是 Hero。准备下列不该计入的素材。
2、高风险亏损当决策好但本手输，「打对但输钱的牌」仍=n</t>
        </is>
      </c>
      <c r="M144" s="8" t="inlineStr">
        <is>
          <t>1、上传素材，生成复盘报告，等到能打开。
2、打开「打对但输钱的牌」，检查是否为n。</t>
        </is>
      </c>
      <c r="N144" s="8" t="inlineStr">
        <is>
          <t>打对但输钱的牌=n</t>
        </is>
      </c>
      <c r="O144" s="8" t="inlineStr">
        <is>
          <t>profit_ev_summary.good_decision_bad_result_hands</t>
        </is>
      </c>
      <c r="P144" s="10" t="inlineStr">
        <is>
          <t>未执行</t>
        </is>
      </c>
      <c r="Q144" s="10" t="inlineStr"/>
      <c r="R144" s="11" t="inlineStr"/>
    </row>
    <row r="145" ht="72" customHeight="1">
      <c r="A145" s="5" t="inlineStr">
        <is>
          <t>TC-RPT-141</t>
        </is>
      </c>
      <c r="B145" s="5" t="inlineStr">
        <is>
          <t>good_decision_bad_result_hands</t>
        </is>
      </c>
      <c r="C145" s="5" t="inlineStr">
        <is>
          <t>打对但输钱的牌</t>
        </is>
      </c>
      <c r="D145" s="14" t="inlineStr">
        <is>
          <t>P2</t>
        </is>
      </c>
      <c r="E145" s="7" t="inlineStr">
        <is>
          <t>错误推断法</t>
        </is>
      </c>
      <c r="F145" s="7" t="inlineStr">
        <is>
          <t>盈亏EV</t>
        </is>
      </c>
      <c r="G145" s="7" t="inlineStr">
        <is>
          <t>内部</t>
        </is>
      </c>
      <c r="H145" s="8" t="inlineStr">
        <is>
          <t>决策质量可接受但结果亏损的手牌</t>
        </is>
      </c>
      <c r="I145" s="8" t="inlineStr">
        <is>
          <t>单手牌每一次行动decision_quality_label in 符合gto_matched_count、可接受acceptable_count 且 per_hand_profit &lt; 0</t>
        </is>
      </c>
      <c r="J145" s="8" t="inlineStr">
        <is>
          <t>打对但输钱的牌反例-源数据缺失不得编造</t>
        </is>
      </c>
      <c r="K145" s="12" t="inlineStr">
        <is>
          <t>反例</t>
        </is>
      </c>
      <c r="L145" s="8" t="inlineStr">
        <is>
          <t>1、已登录。本条只跑缺失场。
2、本场缺少「打对但输钱的牌」源数据。没有同时满足「质量可接受 + 亏损」的手。</t>
        </is>
      </c>
      <c r="M145" s="8" t="inlineStr">
        <is>
          <t>1、上传素材，生成复盘报告，等到能打开。
2、打开「打对但输钱的牌」，检查是否为空或不出现。</t>
        </is>
      </c>
      <c r="N145" s="8" t="inlineStr">
        <is>
          <t>打对但输钱的牌为空或不出现</t>
        </is>
      </c>
      <c r="O145" s="8" t="inlineStr">
        <is>
          <t>profit_ev_summary.good_decision_bad_result_hands</t>
        </is>
      </c>
      <c r="P145" s="10" t="inlineStr">
        <is>
          <t>未执行</t>
        </is>
      </c>
      <c r="Q145" s="10" t="inlineStr"/>
      <c r="R145" s="11" t="inlineStr"/>
    </row>
    <row r="146" ht="72" customHeight="1">
      <c r="A146" s="5" t="inlineStr">
        <is>
          <t>TC-RPT-142</t>
        </is>
      </c>
      <c r="B146" s="5" t="inlineStr">
        <is>
          <t>bad_process_good_result_hands</t>
        </is>
      </c>
      <c r="C146" s="5" t="inlineStr">
        <is>
          <t>结果盈利但过程有风险的牌</t>
        </is>
      </c>
      <c r="D146" s="14" t="inlineStr">
        <is>
          <t>P2</t>
        </is>
      </c>
      <c r="E146" s="7" t="inlineStr">
        <is>
          <t>等价类划分法</t>
        </is>
      </c>
      <c r="F146" s="7" t="inlineStr">
        <is>
          <t>盈亏EV</t>
        </is>
      </c>
      <c r="G146" s="7" t="inlineStr">
        <is>
          <t>内部</t>
        </is>
      </c>
      <c r="H146" s="8" t="inlineStr">
        <is>
          <t>结果盈利但决策风险偏高的手牌</t>
        </is>
      </c>
      <c r="I146" s="8" t="inlineStr">
        <is>
          <t>单手牌只要任意一次行动decision_quality_label = 风险偏高 且 per_hand_profit &gt; 0</t>
        </is>
      </c>
      <c r="J146" s="8" t="inlineStr">
        <is>
          <t>结果盈利但过程有风险的牌正例-有风险决策且本手盈利</t>
        </is>
      </c>
      <c r="K146" s="9" t="inlineStr">
        <is>
          <t>正例</t>
        </is>
      </c>
      <c r="L146" s="8" t="inlineStr">
        <is>
          <t>1、已登录，当前用户是 Hero。只用正例场。
2、素材里按口径手算「结果盈利但过程有风险的牌」=n</t>
        </is>
      </c>
      <c r="M146" s="8" t="inlineStr">
        <is>
          <t>1、上传素材，生成复盘报告，等到能打开。
2、打开「结果盈利但过程有风险的牌」，检查是否为n。</t>
        </is>
      </c>
      <c r="N146" s="8" t="inlineStr">
        <is>
          <t>结果盈利但过程有风险的牌=n</t>
        </is>
      </c>
      <c r="O146" s="8" t="inlineStr">
        <is>
          <t>profit_ev_summary.bad_process_good_result_hands</t>
        </is>
      </c>
      <c r="P146" s="10" t="inlineStr">
        <is>
          <t>未执行</t>
        </is>
      </c>
      <c r="Q146" s="10" t="inlineStr"/>
      <c r="R146" s="11" t="inlineStr"/>
    </row>
    <row r="147" ht="72" customHeight="1">
      <c r="A147" s="5" t="inlineStr">
        <is>
          <t>TC-RPT-143</t>
        </is>
      </c>
      <c r="B147" s="5" t="inlineStr">
        <is>
          <t>bad_process_good_result_hands</t>
        </is>
      </c>
      <c r="C147" s="5" t="inlineStr">
        <is>
          <t>结果盈利但过程有风险的牌</t>
        </is>
      </c>
      <c r="D147" s="14" t="inlineStr">
        <is>
          <t>P2</t>
        </is>
      </c>
      <c r="E147" s="7" t="inlineStr">
        <is>
          <t>等价类划分法</t>
        </is>
      </c>
      <c r="F147" s="7" t="inlineStr">
        <is>
          <t>盈亏EV</t>
        </is>
      </c>
      <c r="G147" s="7" t="inlineStr">
        <is>
          <t>内部</t>
        </is>
      </c>
      <c r="H147" s="8" t="inlineStr">
        <is>
          <t>结果盈利但决策风险偏高的手牌</t>
        </is>
      </c>
      <c r="I147" s="8" t="inlineStr">
        <is>
          <t>单手牌只要任意一次行动decision_quality_label = 风险偏高 且 per_hand_profit &gt; 0</t>
        </is>
      </c>
      <c r="J147" s="8" t="inlineStr">
        <is>
          <t>结果盈利但过程有风险的牌反例-全程符合GTO的盈利手</t>
        </is>
      </c>
      <c r="K147" s="12" t="inlineStr">
        <is>
          <t>反例</t>
        </is>
      </c>
      <c r="L147" s="8" t="inlineStr">
        <is>
          <t>1、已登录，当前用户是 Hero。准备下列不该计入的素材。
2、全程符合GTO的盈利手，「结果盈利但过程有风险的牌」仍=n</t>
        </is>
      </c>
      <c r="M147" s="8" t="inlineStr">
        <is>
          <t>1、上传素材，生成复盘报告，等到能打开。
2、打开「结果盈利但过程有风险的牌」，检查是否为n。</t>
        </is>
      </c>
      <c r="N147" s="8" t="inlineStr">
        <is>
          <t>结果盈利但过程有风险的牌=n</t>
        </is>
      </c>
      <c r="O147" s="8" t="inlineStr">
        <is>
          <t>profit_ev_summary.bad_process_good_result_hands</t>
        </is>
      </c>
      <c r="P147" s="10" t="inlineStr">
        <is>
          <t>未执行</t>
        </is>
      </c>
      <c r="Q147" s="10" t="inlineStr"/>
      <c r="R147" s="11" t="inlineStr"/>
    </row>
    <row r="148" ht="72" customHeight="1">
      <c r="A148" s="5" t="inlineStr">
        <is>
          <t>TC-RPT-144</t>
        </is>
      </c>
      <c r="B148" s="5" t="inlineStr">
        <is>
          <t>bad_process_good_result_hands</t>
        </is>
      </c>
      <c r="C148" s="5" t="inlineStr">
        <is>
          <t>结果盈利但过程有风险的牌</t>
        </is>
      </c>
      <c r="D148" s="14" t="inlineStr">
        <is>
          <t>P2</t>
        </is>
      </c>
      <c r="E148" s="7" t="inlineStr">
        <is>
          <t>错误推断法</t>
        </is>
      </c>
      <c r="F148" s="7" t="inlineStr">
        <is>
          <t>盈亏EV</t>
        </is>
      </c>
      <c r="G148" s="7" t="inlineStr">
        <is>
          <t>内部</t>
        </is>
      </c>
      <c r="H148" s="8" t="inlineStr">
        <is>
          <t>结果盈利但决策风险偏高的手牌</t>
        </is>
      </c>
      <c r="I148" s="8" t="inlineStr">
        <is>
          <t>单手牌只要任意一次行动decision_quality_label = 风险偏高 且 per_hand_profit &gt; 0</t>
        </is>
      </c>
      <c r="J148" s="8" t="inlineStr">
        <is>
          <t>结果盈利但过程有风险的牌反例-源数据缺失不得编造</t>
        </is>
      </c>
      <c r="K148" s="12" t="inlineStr">
        <is>
          <t>反例</t>
        </is>
      </c>
      <c r="L148" s="8" t="inlineStr">
        <is>
          <t>1、已登录。本条只跑缺失场。
2、本场缺少「结果盈利但过程有风险的牌」源数据。没有「风险偏高 + 盈利」的手。</t>
        </is>
      </c>
      <c r="M148" s="8" t="inlineStr">
        <is>
          <t>1、上传素材，生成复盘报告，等到能打开。
2、打开「结果盈利但过程有风险的牌」，检查是否为空或不出现。</t>
        </is>
      </c>
      <c r="N148" s="8" t="inlineStr">
        <is>
          <t>结果盈利但过程有风险的牌为空或不出现</t>
        </is>
      </c>
      <c r="O148" s="8" t="inlineStr">
        <is>
          <t>profit_ev_summary.bad_process_good_result_hands</t>
        </is>
      </c>
      <c r="P148" s="10" t="inlineStr">
        <is>
          <t>未执行</t>
        </is>
      </c>
      <c r="Q148" s="10" t="inlineStr"/>
      <c r="R148" s="11" t="inlineStr"/>
    </row>
    <row r="149" ht="72" customHeight="1">
      <c r="A149" s="5" t="inlineStr">
        <is>
          <t>TC-RPT-145</t>
        </is>
      </c>
      <c r="B149" s="5" t="inlineStr">
        <is>
          <t>total_decision_points</t>
        </is>
      </c>
      <c r="C149" s="5" t="inlineStr">
        <is>
          <t>Hero 总决策次数</t>
        </is>
      </c>
      <c r="D149" s="6" t="inlineStr">
        <is>
          <t>P0</t>
        </is>
      </c>
      <c r="E149" s="7" t="inlineStr">
        <is>
          <t>等价类划分法</t>
        </is>
      </c>
      <c r="F149" s="7" t="inlineStr">
        <is>
          <t>GTO决策</t>
        </is>
      </c>
      <c r="G149" s="7" t="inlineStr">
        <is>
          <t>内部</t>
        </is>
      </c>
      <c r="H149" s="8" t="inlineStr">
        <is>
          <t>Hero 所有可识别行动点数量</t>
        </is>
      </c>
      <c r="I149" s="8" t="inlineStr">
        <is>
          <t>统计 Hero 在所有街次的 fold/call/check/bet/raise/all-in 等行动点</t>
        </is>
      </c>
      <c r="J149" s="8" t="inlineStr">
        <is>
          <t>Hero 总决策次数正例-用户各街每次决策各计1次</t>
        </is>
      </c>
      <c r="K149" s="9" t="inlineStr">
        <is>
          <t>正例</t>
        </is>
      </c>
      <c r="L149" s="8" t="inlineStr">
        <is>
          <t>1、已登录，当前用户是 Hero。只用正例场。
2、素材里 Hero 决策次数=n</t>
        </is>
      </c>
      <c r="M149" s="8" t="inlineStr">
        <is>
          <t>1、上传素材，生成复盘报告，等到能打开。
2、打开「Hero 总决策次数」，检查是否为n。</t>
        </is>
      </c>
      <c r="N149" s="8" t="inlineStr">
        <is>
          <t>Hero 总决策次数=n</t>
        </is>
      </c>
      <c r="O149" s="8" t="inlineStr">
        <is>
          <t>gto_decision_points.total_decision_points</t>
        </is>
      </c>
      <c r="P149" s="10" t="inlineStr">
        <is>
          <t>未执行</t>
        </is>
      </c>
      <c r="Q149" s="10" t="inlineStr"/>
      <c r="R149" s="11" t="inlineStr"/>
    </row>
    <row r="150" ht="72" customHeight="1">
      <c r="A150" s="5" t="inlineStr">
        <is>
          <t>TC-RPT-146</t>
        </is>
      </c>
      <c r="B150" s="5" t="inlineStr">
        <is>
          <t>total_decision_points</t>
        </is>
      </c>
      <c r="C150" s="5" t="inlineStr">
        <is>
          <t>Hero 总决策次数</t>
        </is>
      </c>
      <c r="D150" s="6" t="inlineStr">
        <is>
          <t>P0</t>
        </is>
      </c>
      <c r="E150" s="7" t="inlineStr">
        <is>
          <t>等价类划分法</t>
        </is>
      </c>
      <c r="F150" s="7" t="inlineStr">
        <is>
          <t>GTO决策</t>
        </is>
      </c>
      <c r="G150" s="7" t="inlineStr">
        <is>
          <t>内部</t>
        </is>
      </c>
      <c r="H150" s="8" t="inlineStr">
        <is>
          <t>Hero 所有可识别行动点数量</t>
        </is>
      </c>
      <c r="I150" s="8" t="inlineStr">
        <is>
          <t>统计 Hero 在所有街次的 fold/call/check/bet/raise/all-in 等行动点</t>
        </is>
      </c>
      <c r="J150" s="8" t="inlineStr">
        <is>
          <t>Hero 总决策次数反例-系统强制下盲注、托管代打或对手行动</t>
        </is>
      </c>
      <c r="K150" s="12" t="inlineStr">
        <is>
          <t>反例</t>
        </is>
      </c>
      <c r="L150" s="8" t="inlineStr">
        <is>
          <t>1、已登录，当前用户是 Hero。准备下列不该计入的素材。
2、把系统强制下盲注、托管代打或对手行动计成用户决策点，「Hero 总决策次数」仍=n</t>
        </is>
      </c>
      <c r="M150" s="8" t="inlineStr">
        <is>
          <t>1、上传素材，生成复盘报告，等到能打开。
2、打开「Hero 总决策次数」，检查是否为n。</t>
        </is>
      </c>
      <c r="N150" s="8" t="inlineStr">
        <is>
          <t>Hero 总决策次数=n</t>
        </is>
      </c>
      <c r="O150" s="8" t="inlineStr">
        <is>
          <t>gto_decision_points.total_decision_points</t>
        </is>
      </c>
      <c r="P150" s="10" t="inlineStr">
        <is>
          <t>未执行</t>
        </is>
      </c>
      <c r="Q150" s="10" t="inlineStr"/>
      <c r="R150" s="11" t="inlineStr"/>
    </row>
    <row r="151" ht="72" customHeight="1">
      <c r="A151" s="5" t="inlineStr">
        <is>
          <t>TC-RPT-147</t>
        </is>
      </c>
      <c r="B151" s="5" t="inlineStr">
        <is>
          <t>total_decision_points</t>
        </is>
      </c>
      <c r="C151" s="5" t="inlineStr">
        <is>
          <t>Hero 总决策次数</t>
        </is>
      </c>
      <c r="D151" s="6" t="inlineStr">
        <is>
          <t>P0</t>
        </is>
      </c>
      <c r="E151" s="7" t="inlineStr">
        <is>
          <t>场景设计法</t>
        </is>
      </c>
      <c r="F151" s="7" t="inlineStr">
        <is>
          <t>GTO决策</t>
        </is>
      </c>
      <c r="G151" s="7" t="inlineStr">
        <is>
          <t>内部</t>
        </is>
      </c>
      <c r="H151" s="8" t="inlineStr">
        <is>
          <t>Hero 所有可识别行动点数量</t>
        </is>
      </c>
      <c r="I151" s="8" t="inlineStr">
        <is>
          <t>统计 Hero 在所有街次的 fold/call/check/bet/raise/all-in 等行动点</t>
        </is>
      </c>
      <c r="J151" s="8" t="inlineStr">
        <is>
          <t>总决策次数正例-翻前到河牌各街Hero都有动作</t>
        </is>
      </c>
      <c r="K151" s="9" t="inlineStr">
        <is>
          <t>正例</t>
        </is>
      </c>
      <c r="L151" s="8" t="inlineStr">
        <is>
          <t>1、已登录，当前用户是 Hero。
2、素材含一手：翻前/翻/转/河 Hero 各 1 次动作。这一手决策次数=4</t>
        </is>
      </c>
      <c r="M151" s="8" t="inlineStr">
        <is>
          <t>1、上传素材，生成复盘报告，等到能打开。
2、打开「总决策次数」，检查是否为该手贡献4。</t>
        </is>
      </c>
      <c r="N151" s="8" t="inlineStr">
        <is>
          <t>总决策次数=该手贡献4</t>
        </is>
      </c>
      <c r="O151" s="8" t="inlineStr">
        <is>
          <t>gto_decision_points.total_decision_points</t>
        </is>
      </c>
      <c r="P151" s="10" t="inlineStr">
        <is>
          <t>未执行</t>
        </is>
      </c>
      <c r="Q151" s="10" t="inlineStr"/>
      <c r="R151" s="11" t="inlineStr"/>
    </row>
    <row r="152" ht="72" customHeight="1">
      <c r="A152" s="5" t="inlineStr">
        <is>
          <t>TC-RPT-148</t>
        </is>
      </c>
      <c r="B152" s="5" t="inlineStr">
        <is>
          <t>total_decision_points</t>
        </is>
      </c>
      <c r="C152" s="5" t="inlineStr">
        <is>
          <t>Hero 总决策次数</t>
        </is>
      </c>
      <c r="D152" s="6" t="inlineStr">
        <is>
          <t>P0</t>
        </is>
      </c>
      <c r="E152" s="7" t="inlineStr">
        <is>
          <t>场景设计法</t>
        </is>
      </c>
      <c r="F152" s="7" t="inlineStr">
        <is>
          <t>GTO决策</t>
        </is>
      </c>
      <c r="G152" s="7" t="inlineStr">
        <is>
          <t>内部</t>
        </is>
      </c>
      <c r="H152" s="8" t="inlineStr">
        <is>
          <t>Hero 所有可识别行动点数量</t>
        </is>
      </c>
      <c r="I152" s="8" t="inlineStr">
        <is>
          <t>统计 Hero 在所有街次的 fold/call/check/bet/raise/all-in 等行动点</t>
        </is>
      </c>
      <c r="J152" s="8" t="inlineStr">
        <is>
          <t>总决策次数反例-ClubGG托管系统代过牌不计入</t>
        </is>
      </c>
      <c r="K152" s="12" t="inlineStr">
        <is>
          <t>反例</t>
        </is>
      </c>
      <c r="L152" s="8" t="inlineStr">
        <is>
          <t>1、已登录，当前用户是 Hero。
2、素材含一手（ClubGG）：Hero处于托管，轮到Hero且前面无人下注，系统代其过牌（录屏可见托管标识）。总决策次数仍=n，不因托管动作+1</t>
        </is>
      </c>
      <c r="M152" s="8" t="inlineStr">
        <is>
          <t>1、上传素材，生成复盘报告，等到能打开。
2、打开「总决策次数」，检查是否为n。</t>
        </is>
      </c>
      <c r="N152" s="8" t="inlineStr">
        <is>
          <t>总决策次数=n</t>
        </is>
      </c>
      <c r="O152" s="8" t="inlineStr">
        <is>
          <t>gto_decision_points.total_decision_points</t>
        </is>
      </c>
      <c r="P152" s="10" t="inlineStr">
        <is>
          <t>未执行</t>
        </is>
      </c>
      <c r="Q152" s="10" t="inlineStr"/>
      <c r="R152" s="11" t="inlineStr"/>
    </row>
    <row r="153" ht="72" customHeight="1">
      <c r="A153" s="5" t="inlineStr">
        <is>
          <t>TC-RPT-149</t>
        </is>
      </c>
      <c r="B153" s="5" t="inlineStr">
        <is>
          <t>total_decision_points</t>
        </is>
      </c>
      <c r="C153" s="5" t="inlineStr">
        <is>
          <t>Hero 总决策次数</t>
        </is>
      </c>
      <c r="D153" s="6" t="inlineStr">
        <is>
          <t>P0</t>
        </is>
      </c>
      <c r="E153" s="7" t="inlineStr">
        <is>
          <t>场景设计法</t>
        </is>
      </c>
      <c r="F153" s="7" t="inlineStr">
        <is>
          <t>GTO决策</t>
        </is>
      </c>
      <c r="G153" s="7" t="inlineStr">
        <is>
          <t>内部</t>
        </is>
      </c>
      <c r="H153" s="8" t="inlineStr">
        <is>
          <t>Hero 所有可识别行动点数量</t>
        </is>
      </c>
      <c r="I153" s="8" t="inlineStr">
        <is>
          <t>统计 Hero 在所有街次的 fold/call/check/bet/raise/all-in 等行动点</t>
        </is>
      </c>
      <c r="J153" s="8" t="inlineStr">
        <is>
          <t>总决策次数反例-WePoker托管系统代弃牌不计入</t>
        </is>
      </c>
      <c r="K153" s="12" t="inlineStr">
        <is>
          <t>反例</t>
        </is>
      </c>
      <c r="L153" s="8" t="inlineStr">
        <is>
          <t>1、已登录，当前用户是 Hero。
2、素材含一手（WePoker）：Hero处于托管，轮到Hero时系统代其弃牌（录屏可见托管标识，可过牌却代弃）。总决策次数仍=n，不因托管动作+1</t>
        </is>
      </c>
      <c r="M153" s="8" t="inlineStr">
        <is>
          <t>1、上传素材，生成复盘报告，等到能打开。
2、打开「总决策次数」，检查是否为n。</t>
        </is>
      </c>
      <c r="N153" s="8" t="inlineStr">
        <is>
          <t>总决策次数=n</t>
        </is>
      </c>
      <c r="O153" s="8" t="inlineStr">
        <is>
          <t>gto_decision_points.total_decision_points</t>
        </is>
      </c>
      <c r="P153" s="10" t="inlineStr">
        <is>
          <t>未执行</t>
        </is>
      </c>
      <c r="Q153" s="10" t="inlineStr"/>
      <c r="R153" s="11" t="inlineStr"/>
    </row>
    <row r="154" ht="72" customHeight="1">
      <c r="A154" s="5" t="inlineStr">
        <is>
          <t>TC-RPT-150</t>
        </is>
      </c>
      <c r="B154" s="5" t="inlineStr">
        <is>
          <t>judgeable_decision_points</t>
        </is>
      </c>
      <c r="C154" s="5" t="inlineStr">
        <is>
          <t>可判断决策次数</t>
        </is>
      </c>
      <c r="D154" s="6" t="inlineStr">
        <is>
          <t>P0</t>
        </is>
      </c>
      <c r="E154" s="7" t="inlineStr">
        <is>
          <t>等价类划分法</t>
        </is>
      </c>
      <c r="F154" s="7" t="inlineStr">
        <is>
          <t>GTO决策</t>
        </is>
      </c>
      <c r="G154" s="7" t="inlineStr">
        <is>
          <t>内部</t>
        </is>
      </c>
      <c r="H154" s="8" t="inlineStr">
        <is>
          <t>可稳定进行 GTO 质量判断的决策点数量</t>
        </is>
      </c>
      <c r="I154" s="8" t="inlineStr">
        <is>
          <t>符合 GTO 标准 + 基本可接受 + 风险偏高</t>
        </is>
      </c>
      <c r="J154" s="8" t="inlineStr">
        <is>
          <t>可判断决策次数正例-已打四类质量标签的点</t>
        </is>
      </c>
      <c r="K154" s="9" t="inlineStr">
        <is>
          <t>正例</t>
        </is>
      </c>
      <c r="L154" s="8" t="inlineStr">
        <is>
          <t>1、已登录，当前用户是 Hero。只用正例场。
2、素材里「可判断决策次数」应对的值=n</t>
        </is>
      </c>
      <c r="M154" s="8" t="inlineStr">
        <is>
          <t>1、上传素材，生成复盘报告，等到能打开。
2、打开「可判断决策次数」，检查是否为n。</t>
        </is>
      </c>
      <c r="N154" s="8" t="inlineStr">
        <is>
          <t>可判断决策次数=n</t>
        </is>
      </c>
      <c r="O154" s="8" t="inlineStr">
        <is>
          <t>gto_decision_points.judgeable_decision_points</t>
        </is>
      </c>
      <c r="P154" s="10" t="inlineStr">
        <is>
          <t>未执行</t>
        </is>
      </c>
      <c r="Q154" s="10" t="inlineStr"/>
      <c r="R154" s="11" t="inlineStr"/>
    </row>
    <row r="155" ht="72" customHeight="1">
      <c r="A155" s="5" t="inlineStr">
        <is>
          <t>TC-RPT-151</t>
        </is>
      </c>
      <c r="B155" s="5" t="inlineStr">
        <is>
          <t>judgeable_decision_points</t>
        </is>
      </c>
      <c r="C155" s="5" t="inlineStr">
        <is>
          <t>可判断决策次数</t>
        </is>
      </c>
      <c r="D155" s="6" t="inlineStr">
        <is>
          <t>P0</t>
        </is>
      </c>
      <c r="E155" s="7" t="inlineStr">
        <is>
          <t>等价类划分法</t>
        </is>
      </c>
      <c r="F155" s="7" t="inlineStr">
        <is>
          <t>GTO决策</t>
        </is>
      </c>
      <c r="G155" s="7" t="inlineStr">
        <is>
          <t>内部</t>
        </is>
      </c>
      <c r="H155" s="8" t="inlineStr">
        <is>
          <t>可稳定进行 GTO 质量判断的决策点数量</t>
        </is>
      </c>
      <c r="I155" s="8" t="inlineStr">
        <is>
          <t>符合 GTO 标准 + 基本可接受 + 风险偏高</t>
        </is>
      </c>
      <c r="J155" s="8" t="inlineStr">
        <is>
          <t>可判断决策次数反例-信息不足点算可判断</t>
        </is>
      </c>
      <c r="K155" s="12" t="inlineStr">
        <is>
          <t>反例</t>
        </is>
      </c>
      <c r="L155" s="8" t="inlineStr">
        <is>
          <t>1、已登录，当前用户是 Hero。准备下列不该计入的素材。
2、信息不足点计入可判断决策点，「可判断决策次数」仍=n</t>
        </is>
      </c>
      <c r="M155" s="8" t="inlineStr">
        <is>
          <t>1、上传素材，生成复盘报告，等到能打开。
2、打开「可判断决策次数」，检查是否为n。</t>
        </is>
      </c>
      <c r="N155" s="8" t="inlineStr">
        <is>
          <t>可判断决策次数=n</t>
        </is>
      </c>
      <c r="O155" s="8" t="inlineStr">
        <is>
          <t>gto_decision_points.judgeable_decision_points</t>
        </is>
      </c>
      <c r="P155" s="10" t="inlineStr">
        <is>
          <t>未执行</t>
        </is>
      </c>
      <c r="Q155" s="10" t="inlineStr"/>
      <c r="R155" s="11" t="inlineStr"/>
    </row>
    <row r="156" ht="72" customHeight="1">
      <c r="A156" s="5" t="inlineStr">
        <is>
          <t>TC-RPT-152</t>
        </is>
      </c>
      <c r="B156" s="5" t="inlineStr">
        <is>
          <t>gto_matched_count</t>
        </is>
      </c>
      <c r="C156" s="5" t="inlineStr">
        <is>
          <t>符合 GTO 标准数量</t>
        </is>
      </c>
      <c r="D156" s="6" t="inlineStr">
        <is>
          <t>P0</t>
        </is>
      </c>
      <c r="E156" s="7" t="inlineStr">
        <is>
          <t>等价类划分法</t>
        </is>
      </c>
      <c r="F156" s="7" t="inlineStr">
        <is>
          <t>GTO决策</t>
        </is>
      </c>
      <c r="G156" s="7" t="inlineStr">
        <is>
          <t>内部</t>
        </is>
      </c>
      <c r="H156" s="8" t="inlineStr">
        <is>
          <t>实际动作与 GTO 主要推荐方向一致的次数</t>
        </is>
      </c>
      <c r="I156" s="8" t="inlineStr">
        <is>
          <t>Hero 实际动作与 GTO 主推荐动作一致；如果是加注则加注额上下浮动30%范围内</t>
        </is>
      </c>
      <c r="J156" s="8" t="inlineStr">
        <is>
          <t>符合 GTO 标准数量正例-动作与推荐一致且尺度在30%内</t>
        </is>
      </c>
      <c r="K156" s="9" t="inlineStr">
        <is>
          <t>正例</t>
        </is>
      </c>
      <c r="L156" s="8" t="inlineStr">
        <is>
          <t>1、已登录，当前用户是 Hero。只用正例场。
2、素材里「符合 GTO 标准数量」应对的值=n</t>
        </is>
      </c>
      <c r="M156" s="8" t="inlineStr">
        <is>
          <t>1、上传素材，生成复盘报告，等到能打开。
2、打开「符合 GTO 标准数量」，检查是否为n。</t>
        </is>
      </c>
      <c r="N156" s="8" t="inlineStr">
        <is>
          <t>符合 GTO 标准数量=n</t>
        </is>
      </c>
      <c r="O156" s="8" t="inlineStr">
        <is>
          <t>gto_decision_points.gto_matched_count</t>
        </is>
      </c>
      <c r="P156" s="10" t="inlineStr">
        <is>
          <t>未执行</t>
        </is>
      </c>
      <c r="Q156" s="10" t="inlineStr"/>
      <c r="R156" s="11" t="inlineStr"/>
    </row>
    <row r="157" ht="72" customHeight="1">
      <c r="A157" s="5" t="inlineStr">
        <is>
          <t>TC-RPT-153</t>
        </is>
      </c>
      <c r="B157" s="5" t="inlineStr">
        <is>
          <t>gto_matched_count</t>
        </is>
      </c>
      <c r="C157" s="5" t="inlineStr">
        <is>
          <t>符合 GTO 标准数量</t>
        </is>
      </c>
      <c r="D157" s="6" t="inlineStr">
        <is>
          <t>P0</t>
        </is>
      </c>
      <c r="E157" s="7" t="inlineStr">
        <is>
          <t>等价类划分法</t>
        </is>
      </c>
      <c r="F157" s="7" t="inlineStr">
        <is>
          <t>GTO决策</t>
        </is>
      </c>
      <c r="G157" s="7" t="inlineStr">
        <is>
          <t>内部</t>
        </is>
      </c>
      <c r="H157" s="8" t="inlineStr">
        <is>
          <t>实际动作与 GTO 主要推荐方向一致的次数</t>
        </is>
      </c>
      <c r="I157" s="8" t="inlineStr">
        <is>
          <t>Hero 实际动作与 GTO 主推荐动作一致；如果是加注则加注额上下浮动30%范围内</t>
        </is>
      </c>
      <c r="J157" s="8" t="inlineStr">
        <is>
          <t>符合 GTO 标准数量反例-加注超推荐尺度30%</t>
        </is>
      </c>
      <c r="K157" s="12" t="inlineStr">
        <is>
          <t>反例</t>
        </is>
      </c>
      <c r="L157" s="8" t="inlineStr">
        <is>
          <t>1、已登录，当前用户是 Hero。准备下列不该计入的素材。
2、动作对但加注额超推荐±30%。不应算符合GTO，「符合 GTO 标准数量」仍=n</t>
        </is>
      </c>
      <c r="M157" s="8" t="inlineStr">
        <is>
          <t>1、上传素材，生成复盘报告，等到能打开。
2、打开「符合 GTO 标准数量」，检查是否为n。</t>
        </is>
      </c>
      <c r="N157" s="8" t="inlineStr">
        <is>
          <t>符合 GTO 标准数量=n</t>
        </is>
      </c>
      <c r="O157" s="8" t="inlineStr">
        <is>
          <t>gto_decision_points.gto_matched_count</t>
        </is>
      </c>
      <c r="P157" s="10" t="inlineStr">
        <is>
          <t>未执行</t>
        </is>
      </c>
      <c r="Q157" s="10" t="inlineStr"/>
      <c r="R157" s="11" t="inlineStr"/>
    </row>
    <row r="158" ht="72" customHeight="1">
      <c r="A158" s="5" t="inlineStr">
        <is>
          <t>TC-RPT-154</t>
        </is>
      </c>
      <c r="B158" s="5" t="inlineStr">
        <is>
          <t>acceptable_count</t>
        </is>
      </c>
      <c r="C158" s="5" t="inlineStr">
        <is>
          <t>基本可接受数量</t>
        </is>
      </c>
      <c r="D158" s="6" t="inlineStr">
        <is>
          <t>P0</t>
        </is>
      </c>
      <c r="E158" s="7" t="inlineStr">
        <is>
          <t>等价类划分法</t>
        </is>
      </c>
      <c r="F158" s="7" t="inlineStr">
        <is>
          <t>GTO决策</t>
        </is>
      </c>
      <c r="G158" s="7" t="inlineStr">
        <is>
          <t>内部</t>
        </is>
      </c>
      <c r="H158" s="8" t="inlineStr">
        <is>
          <t>非最优但仍在合理范围内的次数</t>
        </is>
      </c>
      <c r="I158" s="8" t="inlineStr">
        <is>
          <t>实际动作不是 GTO 首选，但动作频率＞30%；如果是加注则加注额上下浮动超过30%</t>
        </is>
      </c>
      <c r="J158" s="8" t="inlineStr">
        <is>
          <t>基本可接受数量正例-非首选但频率超30%或尺度超30%</t>
        </is>
      </c>
      <c r="K158" s="9" t="inlineStr">
        <is>
          <t>正例</t>
        </is>
      </c>
      <c r="L158" s="8" t="inlineStr">
        <is>
          <t>1、已登录，当前用户是 Hero。只用正例场。
2、素材里「基本可接受数量」应对的值=n</t>
        </is>
      </c>
      <c r="M158" s="8" t="inlineStr">
        <is>
          <t>1、上传素材，生成复盘报告，等到能打开。
2、打开「基本可接受数量」，检查是否为n。</t>
        </is>
      </c>
      <c r="N158" s="8" t="inlineStr">
        <is>
          <t>基本可接受数量=n</t>
        </is>
      </c>
      <c r="O158" s="8" t="inlineStr">
        <is>
          <t>gto_decision_points.acceptable_count</t>
        </is>
      </c>
      <c r="P158" s="10" t="inlineStr">
        <is>
          <t>未执行</t>
        </is>
      </c>
      <c r="Q158" s="10" t="inlineStr"/>
      <c r="R158" s="11" t="inlineStr"/>
    </row>
    <row r="159" ht="72" customHeight="1">
      <c r="A159" s="5" t="inlineStr">
        <is>
          <t>TC-RPT-155</t>
        </is>
      </c>
      <c r="B159" s="5" t="inlineStr">
        <is>
          <t>acceptable_count</t>
        </is>
      </c>
      <c r="C159" s="5" t="inlineStr">
        <is>
          <t>基本可接受数量</t>
        </is>
      </c>
      <c r="D159" s="6" t="inlineStr">
        <is>
          <t>P0</t>
        </is>
      </c>
      <c r="E159" s="7" t="inlineStr">
        <is>
          <t>等价类划分法</t>
        </is>
      </c>
      <c r="F159" s="7" t="inlineStr">
        <is>
          <t>GTO决策</t>
        </is>
      </c>
      <c r="G159" s="7" t="inlineStr">
        <is>
          <t>内部</t>
        </is>
      </c>
      <c r="H159" s="8" t="inlineStr">
        <is>
          <t>非最优但仍在合理范围内的次数</t>
        </is>
      </c>
      <c r="I159" s="8" t="inlineStr">
        <is>
          <t>实际动作不是 GTO 首选，但动作频率＞30%；如果是加注则加注额上下浮动超过30%</t>
        </is>
      </c>
      <c r="J159" s="8" t="inlineStr">
        <is>
          <t>基本可接受数量反例-与首选一致却标可接受</t>
        </is>
      </c>
      <c r="K159" s="12" t="inlineStr">
        <is>
          <t>反例</t>
        </is>
      </c>
      <c r="L159" s="8" t="inlineStr">
        <is>
          <t>1、已登录，当前用户是 Hero。准备下列不该计入的素材。
2、动作与GTO首选一致却标可接受，「基本可接受数量」仍=n</t>
        </is>
      </c>
      <c r="M159" s="8" t="inlineStr">
        <is>
          <t>1、上传素材，生成复盘报告，等到能打开。
2、打开「基本可接受数量」，检查是否为n。</t>
        </is>
      </c>
      <c r="N159" s="8" t="inlineStr">
        <is>
          <t>基本可接受数量=n</t>
        </is>
      </c>
      <c r="O159" s="8" t="inlineStr">
        <is>
          <t>gto_decision_points.acceptable_count</t>
        </is>
      </c>
      <c r="P159" s="10" t="inlineStr">
        <is>
          <t>未执行</t>
        </is>
      </c>
      <c r="Q159" s="10" t="inlineStr"/>
      <c r="R159" s="11" t="inlineStr"/>
    </row>
    <row r="160" ht="72" customHeight="1">
      <c r="A160" s="5" t="inlineStr">
        <is>
          <t>TC-RPT-156</t>
        </is>
      </c>
      <c r="B160" s="5" t="inlineStr">
        <is>
          <t>high_risk_count</t>
        </is>
      </c>
      <c r="C160" s="5" t="inlineStr">
        <is>
          <t>风险偏高数量</t>
        </is>
      </c>
      <c r="D160" s="6" t="inlineStr">
        <is>
          <t>P0</t>
        </is>
      </c>
      <c r="E160" s="7" t="inlineStr">
        <is>
          <t>等价类划分法</t>
        </is>
      </c>
      <c r="F160" s="7" t="inlineStr">
        <is>
          <t>GTO决策</t>
        </is>
      </c>
      <c r="G160" s="7" t="inlineStr">
        <is>
          <t>内部</t>
        </is>
      </c>
      <c r="H160" s="8" t="inlineStr">
        <is>
          <t>明显偏离 GTO</t>
        </is>
      </c>
      <c r="I160" s="8" t="inlineStr">
        <is>
          <t>实际动作不是 GTO 首选，且 频率＜30%</t>
        </is>
      </c>
      <c r="J160" s="8" t="inlineStr">
        <is>
          <t>风险偏高数量正例-非首选且频率低于30%</t>
        </is>
      </c>
      <c r="K160" s="9" t="inlineStr">
        <is>
          <t>正例</t>
        </is>
      </c>
      <c r="L160" s="8" t="inlineStr">
        <is>
          <t>1、已登录，当前用户是 Hero。只用正例场。
2、素材里「风险偏高数量」应对的值=n</t>
        </is>
      </c>
      <c r="M160" s="8" t="inlineStr">
        <is>
          <t>1、上传素材，生成复盘报告，等到能打开。
2、打开「风险偏高数量」，检查是否为n。</t>
        </is>
      </c>
      <c r="N160" s="8" t="inlineStr">
        <is>
          <t>风险偏高数量=n</t>
        </is>
      </c>
      <c r="O160" s="8" t="inlineStr">
        <is>
          <t>gto_decision_points.high_risk_count</t>
        </is>
      </c>
      <c r="P160" s="10" t="inlineStr">
        <is>
          <t>未执行</t>
        </is>
      </c>
      <c r="Q160" s="10" t="inlineStr"/>
      <c r="R160" s="11" t="inlineStr"/>
    </row>
    <row r="161" ht="72" customHeight="1">
      <c r="A161" s="5" t="inlineStr">
        <is>
          <t>TC-RPT-157</t>
        </is>
      </c>
      <c r="B161" s="5" t="inlineStr">
        <is>
          <t>high_risk_count</t>
        </is>
      </c>
      <c r="C161" s="5" t="inlineStr">
        <is>
          <t>风险偏高数量</t>
        </is>
      </c>
      <c r="D161" s="6" t="inlineStr">
        <is>
          <t>P0</t>
        </is>
      </c>
      <c r="E161" s="7" t="inlineStr">
        <is>
          <t>等价类划分法</t>
        </is>
      </c>
      <c r="F161" s="7" t="inlineStr">
        <is>
          <t>GTO决策</t>
        </is>
      </c>
      <c r="G161" s="7" t="inlineStr">
        <is>
          <t>内部</t>
        </is>
      </c>
      <c r="H161" s="8" t="inlineStr">
        <is>
          <t>明显偏离 GTO</t>
        </is>
      </c>
      <c r="I161" s="8" t="inlineStr">
        <is>
          <t>实际动作不是 GTO 首选，且 频率＜30%</t>
        </is>
      </c>
      <c r="J161" s="8" t="inlineStr">
        <is>
          <t>风险偏高数量反例-频率低于30%却标高风险</t>
        </is>
      </c>
      <c r="K161" s="12" t="inlineStr">
        <is>
          <t>反例</t>
        </is>
      </c>
      <c r="L161" s="8" t="inlineStr">
        <is>
          <t>1、已登录，当前用户是 Hero。准备下列不该计入的素材。
2、偏离动作频率&gt;30%却标高风险，「风险偏高数量」仍=n</t>
        </is>
      </c>
      <c r="M161" s="8" t="inlineStr">
        <is>
          <t>1、上传素材，生成复盘报告，等到能打开。
2、打开「风险偏高数量」，检查是否为n。</t>
        </is>
      </c>
      <c r="N161" s="8" t="inlineStr">
        <is>
          <t>风险偏高数量=n</t>
        </is>
      </c>
      <c r="O161" s="8" t="inlineStr">
        <is>
          <t>gto_decision_points.high_risk_count</t>
        </is>
      </c>
      <c r="P161" s="10" t="inlineStr">
        <is>
          <t>未执行</t>
        </is>
      </c>
      <c r="Q161" s="10" t="inlineStr"/>
      <c r="R161" s="11" t="inlineStr"/>
    </row>
    <row r="162" ht="72" customHeight="1">
      <c r="A162" s="5" t="inlineStr">
        <is>
          <t>TC-RPT-158</t>
        </is>
      </c>
      <c r="B162" s="5" t="inlineStr">
        <is>
          <t>insufficient_info_count</t>
        </is>
      </c>
      <c r="C162" s="5" t="inlineStr">
        <is>
          <t>信息不足数量</t>
        </is>
      </c>
      <c r="D162" s="6" t="inlineStr">
        <is>
          <t>P0</t>
        </is>
      </c>
      <c r="E162" s="7" t="inlineStr">
        <is>
          <t>等价类划分法</t>
        </is>
      </c>
      <c r="F162" s="7" t="inlineStr">
        <is>
          <t>GTO决策</t>
        </is>
      </c>
      <c r="G162" s="7" t="inlineStr">
        <is>
          <t>内部</t>
        </is>
      </c>
      <c r="H162" s="8" t="inlineStr">
        <is>
          <t>缺少判断上下文的决策点数量</t>
        </is>
      </c>
      <c r="I162" s="8" t="inlineStr">
        <is>
          <t>缺少实际动作、GTO 结果、完整行动链或牌面信息</t>
        </is>
      </c>
      <c r="J162" s="8" t="inlineStr">
        <is>
          <t>信息不足数量正例-缺动作或缺GTO无法判断</t>
        </is>
      </c>
      <c r="K162" s="9" t="inlineStr">
        <is>
          <t>正例</t>
        </is>
      </c>
      <c r="L162" s="8" t="inlineStr">
        <is>
          <t>1、已登录，当前用户是 Hero。只用正例场。
2、素材里「信息不足数量」应对的值=n</t>
        </is>
      </c>
      <c r="M162" s="8" t="inlineStr">
        <is>
          <t>1、上传素材，生成复盘报告，等到能打开。
2、打开「信息不足数量」，检查是否为n。</t>
        </is>
      </c>
      <c r="N162" s="8" t="inlineStr">
        <is>
          <t>信息不足数量=n</t>
        </is>
      </c>
      <c r="O162" s="8" t="inlineStr">
        <is>
          <t>gto_decision_points.insufficient_info_count</t>
        </is>
      </c>
      <c r="P162" s="10" t="inlineStr">
        <is>
          <t>未执行</t>
        </is>
      </c>
      <c r="Q162" s="10" t="inlineStr"/>
      <c r="R162" s="11" t="inlineStr"/>
    </row>
    <row r="163" ht="72" customHeight="1">
      <c r="A163" s="5" t="inlineStr">
        <is>
          <t>TC-RPT-159</t>
        </is>
      </c>
      <c r="B163" s="5" t="inlineStr">
        <is>
          <t>insufficient_info_count</t>
        </is>
      </c>
      <c r="C163" s="5" t="inlineStr">
        <is>
          <t>信息不足数量</t>
        </is>
      </c>
      <c r="D163" s="6" t="inlineStr">
        <is>
          <t>P0</t>
        </is>
      </c>
      <c r="E163" s="7" t="inlineStr">
        <is>
          <t>等价类划分法</t>
        </is>
      </c>
      <c r="F163" s="7" t="inlineStr">
        <is>
          <t>GTO决策</t>
        </is>
      </c>
      <c r="G163" s="7" t="inlineStr">
        <is>
          <t>内部</t>
        </is>
      </c>
      <c r="H163" s="8" t="inlineStr">
        <is>
          <t>缺少判断上下文的决策点数量</t>
        </is>
      </c>
      <c r="I163" s="8" t="inlineStr">
        <is>
          <t>缺少实际动作、GTO 结果、完整行动链或牌面信息</t>
        </is>
      </c>
      <c r="J163" s="8" t="inlineStr">
        <is>
          <t>信息不足数量反例-信息齐全却标信息不足</t>
        </is>
      </c>
      <c r="K163" s="12" t="inlineStr">
        <is>
          <t>反例</t>
        </is>
      </c>
      <c r="L163" s="8" t="inlineStr">
        <is>
          <t>1、已登录，当前用户是 Hero。准备下列不该计入的素材。
2、动作和GTO齐全却标信息不足，「信息不足数量」仍=n</t>
        </is>
      </c>
      <c r="M163" s="8" t="inlineStr">
        <is>
          <t>1、上传素材，生成复盘报告，等到能打开。
2、打开「信息不足数量」，检查是否为n。</t>
        </is>
      </c>
      <c r="N163" s="8" t="inlineStr">
        <is>
          <t>信息不足数量=n</t>
        </is>
      </c>
      <c r="O163" s="8" t="inlineStr">
        <is>
          <t>gto_decision_points.insufficient_info_count</t>
        </is>
      </c>
      <c r="P163" s="10" t="inlineStr">
        <is>
          <t>未执行</t>
        </is>
      </c>
      <c r="Q163" s="10" t="inlineStr"/>
      <c r="R163" s="11" t="inlineStr"/>
    </row>
    <row r="164" ht="72" customHeight="1">
      <c r="A164" s="5" t="inlineStr">
        <is>
          <t>TC-RPT-160</t>
        </is>
      </c>
      <c r="B164" s="5" t="inlineStr">
        <is>
          <t>gto_match_rate</t>
        </is>
      </c>
      <c r="C164" s="5" t="inlineStr">
        <is>
          <t>GTO 执行匹配度</t>
        </is>
      </c>
      <c r="D164" s="6" t="inlineStr">
        <is>
          <t>P0</t>
        </is>
      </c>
      <c r="E164" s="7" t="inlineStr">
        <is>
          <t>等价类划分法</t>
        </is>
      </c>
      <c r="F164" s="7" t="inlineStr">
        <is>
          <t>GTO决策</t>
        </is>
      </c>
      <c r="G164" s="7" t="inlineStr">
        <is>
          <t>是</t>
        </is>
      </c>
      <c r="H164" s="8" t="inlineStr">
        <is>
          <t>符合 GTO 标准的决策比例</t>
        </is>
      </c>
      <c r="I164" s="8" t="inlineStr">
        <is>
          <t>gto_matched_count / judgeable_decision_points，整数百分比</t>
        </is>
      </c>
      <c r="J164" s="8" t="inlineStr">
        <is>
          <t>GTO 执行匹配度正例-符合GTO数除以可判断数</t>
        </is>
      </c>
      <c r="K164" s="9" t="inlineStr">
        <is>
          <t>正例</t>
        </is>
      </c>
      <c r="L164" s="8" t="inlineStr">
        <is>
          <t>1、已登录，当前用户是 Hero。只用正例场。
2、素材里分子次数=a，分母次数=b，「GTO 执行匹配度」应对=a/b</t>
        </is>
      </c>
      <c r="M164" s="8" t="inlineStr">
        <is>
          <t>1、上传素材，生成复盘报告，等到能打开。
2、打开「GTO 执行匹配度」，检查是否为a/b。</t>
        </is>
      </c>
      <c r="N164" s="8" t="inlineStr">
        <is>
          <t>GTO 执行匹配度=a/b</t>
        </is>
      </c>
      <c r="O164" s="8" t="inlineStr">
        <is>
          <t>gto_decision_points.gto_match_rate</t>
        </is>
      </c>
      <c r="P164" s="10" t="inlineStr">
        <is>
          <t>未执行</t>
        </is>
      </c>
      <c r="Q164" s="10" t="inlineStr"/>
      <c r="R164" s="11" t="inlineStr"/>
    </row>
    <row r="165" ht="72" customHeight="1">
      <c r="A165" s="5" t="inlineStr">
        <is>
          <t>TC-RPT-161</t>
        </is>
      </c>
      <c r="B165" s="5" t="inlineStr">
        <is>
          <t>gto_match_rate</t>
        </is>
      </c>
      <c r="C165" s="5" t="inlineStr">
        <is>
          <t>GTO 执行匹配度</t>
        </is>
      </c>
      <c r="D165" s="6" t="inlineStr">
        <is>
          <t>P0</t>
        </is>
      </c>
      <c r="E165" s="7" t="inlineStr">
        <is>
          <t>等价类划分法</t>
        </is>
      </c>
      <c r="F165" s="7" t="inlineStr">
        <is>
          <t>GTO决策</t>
        </is>
      </c>
      <c r="G165" s="7" t="inlineStr">
        <is>
          <t>是</t>
        </is>
      </c>
      <c r="H165" s="8" t="inlineStr">
        <is>
          <t>符合 GTO 标准的决策比例</t>
        </is>
      </c>
      <c r="I165" s="8" t="inlineStr">
        <is>
          <t>gto_matched_count / judgeable_decision_points，整数百分比</t>
        </is>
      </c>
      <c r="J165" s="8" t="inlineStr">
        <is>
          <t>GTO 执行匹配度反例-分母含信息不足</t>
        </is>
      </c>
      <c r="K165" s="12" t="inlineStr">
        <is>
          <t>反例</t>
        </is>
      </c>
      <c r="L165" s="8" t="inlineStr">
        <is>
          <t>1、已登录，当前用户是 Hero。准备下列不该计入的素材。
2、分母含信息不足点。应只用可判断点，「GTO 执行匹配度」仍=a/b</t>
        </is>
      </c>
      <c r="M165" s="8" t="inlineStr">
        <is>
          <t>1、上传素材，生成复盘报告，等到能打开。
2、打开「GTO 执行匹配度」，检查是否为a/b。</t>
        </is>
      </c>
      <c r="N165" s="8" t="inlineStr">
        <is>
          <t>GTO 执行匹配度=a/b</t>
        </is>
      </c>
      <c r="O165" s="8" t="inlineStr">
        <is>
          <t>gto_decision_points.gto_match_rate</t>
        </is>
      </c>
      <c r="P165" s="10" t="inlineStr">
        <is>
          <t>未执行</t>
        </is>
      </c>
      <c r="Q165" s="10" t="inlineStr"/>
      <c r="R165" s="11" t="inlineStr"/>
    </row>
    <row r="166" ht="72" customHeight="1">
      <c r="A166" s="5" t="inlineStr">
        <is>
          <t>TC-RPT-162</t>
        </is>
      </c>
      <c r="B166" s="5" t="inlineStr">
        <is>
          <t>gto_match_rate</t>
        </is>
      </c>
      <c r="C166" s="5" t="inlineStr">
        <is>
          <t>GTO 执行匹配度</t>
        </is>
      </c>
      <c r="D166" s="6" t="inlineStr">
        <is>
          <t>P0</t>
        </is>
      </c>
      <c r="E166" s="7" t="inlineStr">
        <is>
          <t>边界值分析法</t>
        </is>
      </c>
      <c r="F166" s="7" t="inlineStr">
        <is>
          <t>GTO决策</t>
        </is>
      </c>
      <c r="G166" s="7" t="inlineStr">
        <is>
          <t>是</t>
        </is>
      </c>
      <c r="H166" s="8" t="inlineStr">
        <is>
          <t>符合 GTO 标准的决策比例</t>
        </is>
      </c>
      <c r="I166" s="8" t="inlineStr">
        <is>
          <t>gto_matched_count / judgeable_decision_points，整数百分比</t>
        </is>
      </c>
      <c r="J166" s="8" t="inlineStr">
        <is>
          <t>GTO 执行匹配度反例-分母为0字段不出现</t>
        </is>
      </c>
      <c r="K166" s="12" t="inlineStr">
        <is>
          <t>反例</t>
        </is>
      </c>
      <c r="L166" s="8" t="inlineStr">
        <is>
          <t>1、已登录，当前用户是 Hero。
2、整场没有任何可判断决策点。「GTO 执行匹配度」应为空或不出现，不能写成 0% 或 100%。</t>
        </is>
      </c>
      <c r="M166" s="8" t="inlineStr">
        <is>
          <t>1、上传素材，生成复盘报告，等到能打开。
2、打开「GTO 执行匹配度」，检查是否为空或不出现。</t>
        </is>
      </c>
      <c r="N166" s="8" t="inlineStr">
        <is>
          <t>GTO 执行匹配度为空或不出现</t>
        </is>
      </c>
      <c r="O166" s="8" t="inlineStr">
        <is>
          <t>gto_decision_points.gto_match_rate</t>
        </is>
      </c>
      <c r="P166" s="10" t="inlineStr">
        <is>
          <t>未执行</t>
        </is>
      </c>
      <c r="Q166" s="10" t="inlineStr"/>
      <c r="R166" s="11" t="inlineStr"/>
    </row>
    <row r="167" ht="72" customHeight="1">
      <c r="A167" s="5" t="inlineStr">
        <is>
          <t>TC-RPT-163</t>
        </is>
      </c>
      <c r="B167" s="5" t="inlineStr">
        <is>
          <t>gto_match_rate</t>
        </is>
      </c>
      <c r="C167" s="5" t="inlineStr">
        <is>
          <t>GTO 执行匹配度</t>
        </is>
      </c>
      <c r="D167" s="6" t="inlineStr">
        <is>
          <t>P0</t>
        </is>
      </c>
      <c r="E167" s="7" t="inlineStr">
        <is>
          <t>边界值分析法</t>
        </is>
      </c>
      <c r="F167" s="7" t="inlineStr">
        <is>
          <t>GTO决策</t>
        </is>
      </c>
      <c r="G167" s="7" t="inlineStr">
        <is>
          <t>是</t>
        </is>
      </c>
      <c r="H167" s="8" t="inlineStr">
        <is>
          <t>符合 GTO 标准的决策比例</t>
        </is>
      </c>
      <c r="I167" s="8" t="inlineStr">
        <is>
          <t>gto_matched_count / judgeable_decision_points，整数百分比</t>
        </is>
      </c>
      <c r="J167" s="8" t="inlineStr">
        <is>
          <t>GTO 执行匹配度正例-单位与换算正确</t>
        </is>
      </c>
      <c r="K167" s="9" t="inlineStr">
        <is>
          <t>正例</t>
        </is>
      </c>
      <c r="L167" s="8" t="inlineStr">
        <is>
          <t>1、已登录，当前用户是 Hero。
2、各手筹码和大盲已记下，按该手换算后「GTO 执行匹配度」=n</t>
        </is>
      </c>
      <c r="M167" s="8" t="inlineStr">
        <is>
          <t>1、上传素材，生成复盘报告，等到能打开。
2、打开「GTO 执行匹配度」，检查是否为n。</t>
        </is>
      </c>
      <c r="N167" s="8" t="inlineStr">
        <is>
          <t>GTO 执行匹配度=n</t>
        </is>
      </c>
      <c r="O167" s="8" t="inlineStr">
        <is>
          <t>gto_decision_points.gto_match_rate</t>
        </is>
      </c>
      <c r="P167" s="10" t="inlineStr">
        <is>
          <t>未执行</t>
        </is>
      </c>
      <c r="Q167" s="10" t="inlineStr"/>
      <c r="R167" s="11" t="inlineStr"/>
    </row>
    <row r="168" ht="72" customHeight="1">
      <c r="A168" s="5" t="inlineStr">
        <is>
          <t>TC-RPT-164</t>
        </is>
      </c>
      <c r="B168" s="5" t="inlineStr">
        <is>
          <t>acceptable_decision_rate</t>
        </is>
      </c>
      <c r="C168" s="5" t="inlineStr">
        <is>
          <t>可接受决策占比</t>
        </is>
      </c>
      <c r="D168" s="6" t="inlineStr">
        <is>
          <t>P0</t>
        </is>
      </c>
      <c r="E168" s="7" t="inlineStr">
        <is>
          <t>等价类划分法</t>
        </is>
      </c>
      <c r="F168" s="7" t="inlineStr">
        <is>
          <t>GTO决策</t>
        </is>
      </c>
      <c r="G168" s="7" t="inlineStr">
        <is>
          <t>是</t>
        </is>
      </c>
      <c r="H168" s="8" t="inlineStr">
        <is>
          <t>符合或基本可接受的决策比例</t>
        </is>
      </c>
      <c r="I168" s="8" t="inlineStr">
        <is>
          <t>(gto_matched_count + acceptable_count) / judgeable_decision_points</t>
        </is>
      </c>
      <c r="J168" s="8" t="inlineStr">
        <is>
          <t>可接受决策占比正例-符合加可接受除以可判断数</t>
        </is>
      </c>
      <c r="K168" s="9" t="inlineStr">
        <is>
          <t>正例</t>
        </is>
      </c>
      <c r="L168" s="8" t="inlineStr">
        <is>
          <t>1、已登录，当前用户是 Hero。只用正例场。
2、素材里分子次数=a，分母次数=b，「可接受决策占比」应对=a/b</t>
        </is>
      </c>
      <c r="M168" s="8" t="inlineStr">
        <is>
          <t>1、上传素材，生成复盘报告，等到能打开。
2、打开「可接受决策占比」，检查是否为a/b。</t>
        </is>
      </c>
      <c r="N168" s="8" t="inlineStr">
        <is>
          <t>可接受决策占比=a/b</t>
        </is>
      </c>
      <c r="O168" s="8" t="inlineStr">
        <is>
          <t>gto_decision_points.acceptable_decision_rate</t>
        </is>
      </c>
      <c r="P168" s="10" t="inlineStr">
        <is>
          <t>未执行</t>
        </is>
      </c>
      <c r="Q168" s="10" t="inlineStr"/>
      <c r="R168" s="11" t="inlineStr"/>
    </row>
    <row r="169" ht="72" customHeight="1">
      <c r="A169" s="5" t="inlineStr">
        <is>
          <t>TC-RPT-165</t>
        </is>
      </c>
      <c r="B169" s="5" t="inlineStr">
        <is>
          <t>acceptable_decision_rate</t>
        </is>
      </c>
      <c r="C169" s="5" t="inlineStr">
        <is>
          <t>可接受决策占比</t>
        </is>
      </c>
      <c r="D169" s="6" t="inlineStr">
        <is>
          <t>P0</t>
        </is>
      </c>
      <c r="E169" s="7" t="inlineStr">
        <is>
          <t>等价类划分法</t>
        </is>
      </c>
      <c r="F169" s="7" t="inlineStr">
        <is>
          <t>GTO决策</t>
        </is>
      </c>
      <c r="G169" s="7" t="inlineStr">
        <is>
          <t>是</t>
        </is>
      </c>
      <c r="H169" s="8" t="inlineStr">
        <is>
          <t>符合或基本可接受的决策比例</t>
        </is>
      </c>
      <c r="I169" s="8" t="inlineStr">
        <is>
          <t>(gto_matched_count + acceptable_count) / judgeable_decision_points</t>
        </is>
      </c>
      <c r="J169" s="8" t="inlineStr">
        <is>
          <t>可接受决策占比反例-高风险误算可接受</t>
        </is>
      </c>
      <c r="K169" s="12" t="inlineStr">
        <is>
          <t>反例</t>
        </is>
      </c>
      <c r="L169" s="8" t="inlineStr">
        <is>
          <t>1、已登录，当前用户是 Hero。准备下列不该计入的素材。
2、高风险决策计入可接受分子，「可接受决策占比」仍=a/b</t>
        </is>
      </c>
      <c r="M169" s="8" t="inlineStr">
        <is>
          <t>1、上传素材，生成复盘报告，等到能打开。
2、打开「可接受决策占比」，检查是否为a/b。</t>
        </is>
      </c>
      <c r="N169" s="8" t="inlineStr">
        <is>
          <t>可接受决策占比=a/b</t>
        </is>
      </c>
      <c r="O169" s="8" t="inlineStr">
        <is>
          <t>gto_decision_points.acceptable_decision_rate</t>
        </is>
      </c>
      <c r="P169" s="10" t="inlineStr">
        <is>
          <t>未执行</t>
        </is>
      </c>
      <c r="Q169" s="10" t="inlineStr"/>
      <c r="R169" s="11" t="inlineStr"/>
    </row>
    <row r="170" ht="72" customHeight="1">
      <c r="A170" s="5" t="inlineStr">
        <is>
          <t>TC-RPT-166</t>
        </is>
      </c>
      <c r="B170" s="5" t="inlineStr">
        <is>
          <t>acceptable_decision_rate</t>
        </is>
      </c>
      <c r="C170" s="5" t="inlineStr">
        <is>
          <t>可接受决策占比</t>
        </is>
      </c>
      <c r="D170" s="6" t="inlineStr">
        <is>
          <t>P0</t>
        </is>
      </c>
      <c r="E170" s="7" t="inlineStr">
        <is>
          <t>边界值分析法</t>
        </is>
      </c>
      <c r="F170" s="7" t="inlineStr">
        <is>
          <t>GTO决策</t>
        </is>
      </c>
      <c r="G170" s="7" t="inlineStr">
        <is>
          <t>是</t>
        </is>
      </c>
      <c r="H170" s="8" t="inlineStr">
        <is>
          <t>符合或基本可接受的决策比例</t>
        </is>
      </c>
      <c r="I170" s="8" t="inlineStr">
        <is>
          <t>(gto_matched_count + acceptable_count) / judgeable_decision_points</t>
        </is>
      </c>
      <c r="J170" s="8" t="inlineStr">
        <is>
          <t>可接受决策占比反例-分母为0字段不出现</t>
        </is>
      </c>
      <c r="K170" s="12" t="inlineStr">
        <is>
          <t>反例</t>
        </is>
      </c>
      <c r="L170" s="8" t="inlineStr">
        <is>
          <t>1、已登录，当前用户是 Hero。
2、无可判断点。「可接受决策占比」应为空或不出现，不能写成 0% 或 100%。</t>
        </is>
      </c>
      <c r="M170" s="8" t="inlineStr">
        <is>
          <t>1、上传素材，生成复盘报告，等到能打开。
2、打开「可接受决策占比」，检查是否为空或不出现。</t>
        </is>
      </c>
      <c r="N170" s="8" t="inlineStr">
        <is>
          <t>可接受决策占比为空或不出现</t>
        </is>
      </c>
      <c r="O170" s="8" t="inlineStr">
        <is>
          <t>gto_decision_points.acceptable_decision_rate</t>
        </is>
      </c>
      <c r="P170" s="10" t="inlineStr">
        <is>
          <t>未执行</t>
        </is>
      </c>
      <c r="Q170" s="10" t="inlineStr"/>
      <c r="R170" s="11" t="inlineStr"/>
    </row>
    <row r="171" ht="72" customHeight="1">
      <c r="A171" s="5" t="inlineStr">
        <is>
          <t>TC-RPT-167</t>
        </is>
      </c>
      <c r="B171" s="5" t="inlineStr">
        <is>
          <t>acceptable_decision_rate</t>
        </is>
      </c>
      <c r="C171" s="5" t="inlineStr">
        <is>
          <t>可接受决策占比</t>
        </is>
      </c>
      <c r="D171" s="6" t="inlineStr">
        <is>
          <t>P0</t>
        </is>
      </c>
      <c r="E171" s="7" t="inlineStr">
        <is>
          <t>边界值分析法</t>
        </is>
      </c>
      <c r="F171" s="7" t="inlineStr">
        <is>
          <t>GTO决策</t>
        </is>
      </c>
      <c r="G171" s="7" t="inlineStr">
        <is>
          <t>是</t>
        </is>
      </c>
      <c r="H171" s="8" t="inlineStr">
        <is>
          <t>符合或基本可接受的决策比例</t>
        </is>
      </c>
      <c r="I171" s="8" t="inlineStr">
        <is>
          <t>(gto_matched_count + acceptable_count) / judgeable_decision_points</t>
        </is>
      </c>
      <c r="J171" s="8" t="inlineStr">
        <is>
          <t>可接受决策占比正例-单位与换算正确</t>
        </is>
      </c>
      <c r="K171" s="9" t="inlineStr">
        <is>
          <t>正例</t>
        </is>
      </c>
      <c r="L171" s="8" t="inlineStr">
        <is>
          <t>1、已登录，当前用户是 Hero。
2、各手筹码和大盲已记下，按该手换算后「可接受决策占比」=n</t>
        </is>
      </c>
      <c r="M171" s="8" t="inlineStr">
        <is>
          <t>1、上传素材，生成复盘报告，等到能打开。
2、打开「可接受决策占比」，检查是否为n。</t>
        </is>
      </c>
      <c r="N171" s="8" t="inlineStr">
        <is>
          <t>可接受决策占比=n</t>
        </is>
      </c>
      <c r="O171" s="8" t="inlineStr">
        <is>
          <t>gto_decision_points.acceptable_decision_rate</t>
        </is>
      </c>
      <c r="P171" s="10" t="inlineStr">
        <is>
          <t>未执行</t>
        </is>
      </c>
      <c r="Q171" s="10" t="inlineStr"/>
      <c r="R171" s="11" t="inlineStr"/>
    </row>
    <row r="172" ht="72" customHeight="1">
      <c r="A172" s="5" t="inlineStr">
        <is>
          <t>TC-RPT-168</t>
        </is>
      </c>
      <c r="B172" s="5" t="inlineStr">
        <is>
          <t>high_risk_decision_rate</t>
        </is>
      </c>
      <c r="C172" s="5" t="inlineStr">
        <is>
          <t>高风险决策占比</t>
        </is>
      </c>
      <c r="D172" s="6" t="inlineStr">
        <is>
          <t>P0</t>
        </is>
      </c>
      <c r="E172" s="7" t="inlineStr">
        <is>
          <t>等价类划分法</t>
        </is>
      </c>
      <c r="F172" s="7" t="inlineStr">
        <is>
          <t>GTO决策</t>
        </is>
      </c>
      <c r="G172" s="7" t="inlineStr">
        <is>
          <t>是</t>
        </is>
      </c>
      <c r="H172" s="8" t="inlineStr">
        <is>
          <t>风险偏高决策比例</t>
        </is>
      </c>
      <c r="I172" s="8" t="inlineStr">
        <is>
          <t>high_risk_count / judgeable_decision_points</t>
        </is>
      </c>
      <c r="J172" s="8" t="inlineStr">
        <is>
          <t>高风险决策占比正例-高风险数除以可判断数</t>
        </is>
      </c>
      <c r="K172" s="9" t="inlineStr">
        <is>
          <t>正例</t>
        </is>
      </c>
      <c r="L172" s="8" t="inlineStr">
        <is>
          <t>1、已登录，当前用户是 Hero。只用正例场。
2、素材里分子次数=a，分母次数=b，「高风险决策占比」应对=a/b</t>
        </is>
      </c>
      <c r="M172" s="8" t="inlineStr">
        <is>
          <t>1、上传素材，生成复盘报告，等到能打开。
2、打开「高风险决策占比」，检查是否为a/b。</t>
        </is>
      </c>
      <c r="N172" s="8" t="inlineStr">
        <is>
          <t>高风险决策占比=a/b</t>
        </is>
      </c>
      <c r="O172" s="8" t="inlineStr">
        <is>
          <t>gto_decision_points.high_risk_decision_rate</t>
        </is>
      </c>
      <c r="P172" s="10" t="inlineStr">
        <is>
          <t>未执行</t>
        </is>
      </c>
      <c r="Q172" s="10" t="inlineStr"/>
      <c r="R172" s="11" t="inlineStr"/>
    </row>
    <row r="173" ht="72" customHeight="1">
      <c r="A173" s="5" t="inlineStr">
        <is>
          <t>TC-RPT-169</t>
        </is>
      </c>
      <c r="B173" s="5" t="inlineStr">
        <is>
          <t>high_risk_decision_rate</t>
        </is>
      </c>
      <c r="C173" s="5" t="inlineStr">
        <is>
          <t>高风险决策占比</t>
        </is>
      </c>
      <c r="D173" s="6" t="inlineStr">
        <is>
          <t>P0</t>
        </is>
      </c>
      <c r="E173" s="7" t="inlineStr">
        <is>
          <t>等价类划分法</t>
        </is>
      </c>
      <c r="F173" s="7" t="inlineStr">
        <is>
          <t>GTO决策</t>
        </is>
      </c>
      <c r="G173" s="7" t="inlineStr">
        <is>
          <t>是</t>
        </is>
      </c>
      <c r="H173" s="8" t="inlineStr">
        <is>
          <t>风险偏高决策比例</t>
        </is>
      </c>
      <c r="I173" s="8" t="inlineStr">
        <is>
          <t>high_risk_count / judgeable_decision_points</t>
        </is>
      </c>
      <c r="J173" s="8" t="inlineStr">
        <is>
          <t>高风险决策占比反例-分母用总决策点</t>
        </is>
      </c>
      <c r="K173" s="12" t="inlineStr">
        <is>
          <t>反例</t>
        </is>
      </c>
      <c r="L173" s="8" t="inlineStr">
        <is>
          <t>1、已登录，当前用户是 Hero。准备下列不该计入的素材。
2、分母用总决策点（含信息不足），「高风险决策占比」仍=a/b</t>
        </is>
      </c>
      <c r="M173" s="8" t="inlineStr">
        <is>
          <t>1、上传素材，生成复盘报告，等到能打开。
2、打开「高风险决策占比」，检查是否为a/b。</t>
        </is>
      </c>
      <c r="N173" s="8" t="inlineStr">
        <is>
          <t>高风险决策占比=a/b</t>
        </is>
      </c>
      <c r="O173" s="8" t="inlineStr">
        <is>
          <t>gto_decision_points.high_risk_decision_rate</t>
        </is>
      </c>
      <c r="P173" s="10" t="inlineStr">
        <is>
          <t>未执行</t>
        </is>
      </c>
      <c r="Q173" s="10" t="inlineStr"/>
      <c r="R173" s="11" t="inlineStr"/>
    </row>
    <row r="174" ht="72" customHeight="1">
      <c r="A174" s="5" t="inlineStr">
        <is>
          <t>TC-RPT-170</t>
        </is>
      </c>
      <c r="B174" s="5" t="inlineStr">
        <is>
          <t>high_risk_decision_rate</t>
        </is>
      </c>
      <c r="C174" s="5" t="inlineStr">
        <is>
          <t>高风险决策占比</t>
        </is>
      </c>
      <c r="D174" s="6" t="inlineStr">
        <is>
          <t>P0</t>
        </is>
      </c>
      <c r="E174" s="7" t="inlineStr">
        <is>
          <t>边界值分析法</t>
        </is>
      </c>
      <c r="F174" s="7" t="inlineStr">
        <is>
          <t>GTO决策</t>
        </is>
      </c>
      <c r="G174" s="7" t="inlineStr">
        <is>
          <t>是</t>
        </is>
      </c>
      <c r="H174" s="8" t="inlineStr">
        <is>
          <t>风险偏高决策比例</t>
        </is>
      </c>
      <c r="I174" s="8" t="inlineStr">
        <is>
          <t>high_risk_count / judgeable_decision_points</t>
        </is>
      </c>
      <c r="J174" s="8" t="inlineStr">
        <is>
          <t>高风险决策占比反例-分母为0字段不出现</t>
        </is>
      </c>
      <c r="K174" s="12" t="inlineStr">
        <is>
          <t>反例</t>
        </is>
      </c>
      <c r="L174" s="8" t="inlineStr">
        <is>
          <t>1、已登录，当前用户是 Hero。
2、无可判断点。「高风险决策占比」应为空或不出现，不能写成 0% 或 100%。</t>
        </is>
      </c>
      <c r="M174" s="8" t="inlineStr">
        <is>
          <t>1、上传素材，生成复盘报告，等到能打开。
2、打开「高风险决策占比」，检查是否为空或不出现。</t>
        </is>
      </c>
      <c r="N174" s="8" t="inlineStr">
        <is>
          <t>高风险决策占比为空或不出现</t>
        </is>
      </c>
      <c r="O174" s="8" t="inlineStr">
        <is>
          <t>gto_decision_points.high_risk_decision_rate</t>
        </is>
      </c>
      <c r="P174" s="10" t="inlineStr">
        <is>
          <t>未执行</t>
        </is>
      </c>
      <c r="Q174" s="10" t="inlineStr"/>
      <c r="R174" s="11" t="inlineStr"/>
    </row>
    <row r="175" ht="72" customHeight="1">
      <c r="A175" s="5" t="inlineStr">
        <is>
          <t>TC-RPT-171</t>
        </is>
      </c>
      <c r="B175" s="5" t="inlineStr">
        <is>
          <t>high_risk_decision_rate</t>
        </is>
      </c>
      <c r="C175" s="5" t="inlineStr">
        <is>
          <t>高风险决策占比</t>
        </is>
      </c>
      <c r="D175" s="6" t="inlineStr">
        <is>
          <t>P0</t>
        </is>
      </c>
      <c r="E175" s="7" t="inlineStr">
        <is>
          <t>边界值分析法</t>
        </is>
      </c>
      <c r="F175" s="7" t="inlineStr">
        <is>
          <t>GTO决策</t>
        </is>
      </c>
      <c r="G175" s="7" t="inlineStr">
        <is>
          <t>是</t>
        </is>
      </c>
      <c r="H175" s="8" t="inlineStr">
        <is>
          <t>风险偏高决策比例</t>
        </is>
      </c>
      <c r="I175" s="8" t="inlineStr">
        <is>
          <t>high_risk_count / judgeable_decision_points</t>
        </is>
      </c>
      <c r="J175" s="8" t="inlineStr">
        <is>
          <t>高风险决策占比正例-单位与换算正确</t>
        </is>
      </c>
      <c r="K175" s="9" t="inlineStr">
        <is>
          <t>正例</t>
        </is>
      </c>
      <c r="L175" s="8" t="inlineStr">
        <is>
          <t>1、已登录，当前用户是 Hero。
2、各手筹码和大盲已记下，按该手换算后「高风险决策占比」=n</t>
        </is>
      </c>
      <c r="M175" s="8" t="inlineStr">
        <is>
          <t>1、上传素材，生成复盘报告，等到能打开。
2、打开「高风险决策占比」，检查是否为n。</t>
        </is>
      </c>
      <c r="N175" s="8" t="inlineStr">
        <is>
          <t>高风险决策占比=n</t>
        </is>
      </c>
      <c r="O175" s="8" t="inlineStr">
        <is>
          <t>gto_decision_points.high_risk_decision_rate</t>
        </is>
      </c>
      <c r="P175" s="10" t="inlineStr">
        <is>
          <t>未执行</t>
        </is>
      </c>
      <c r="Q175" s="10" t="inlineStr"/>
      <c r="R175" s="11" t="inlineStr"/>
    </row>
    <row r="176" ht="72" customHeight="1">
      <c r="A176" s="5" t="inlineStr">
        <is>
          <t>TC-RPT-172</t>
        </is>
      </c>
      <c r="B176" s="5" t="inlineStr">
        <is>
          <t>risk_by_street</t>
        </is>
      </c>
      <c r="C176" s="5" t="inlineStr">
        <is>
          <t>各街高风险决策分布</t>
        </is>
      </c>
      <c r="D176" s="13" t="inlineStr">
        <is>
          <t>P1</t>
        </is>
      </c>
      <c r="E176" s="7" t="inlineStr">
        <is>
          <t>等价类划分法</t>
        </is>
      </c>
      <c r="F176" s="7" t="inlineStr">
        <is>
          <t>GTO决策</t>
        </is>
      </c>
      <c r="G176" s="7" t="inlineStr">
        <is>
          <t>内部</t>
        </is>
      </c>
      <c r="H176" s="8" t="inlineStr">
        <is>
          <t>高风险决策在哪些街次集中</t>
        </is>
      </c>
      <c r="I176" s="8" t="inlineStr">
        <is>
          <t>按 preflop / flop / turn / river 汇总 high_risk_count</t>
        </is>
      </c>
      <c r="J176" s="8" t="inlineStr">
        <is>
          <t>各街高风险决策分布正例-高风险点按翻前翻牌转牌河牌分组</t>
        </is>
      </c>
      <c r="K176" s="9" t="inlineStr">
        <is>
          <t>正例</t>
        </is>
      </c>
      <c r="L176" s="8" t="inlineStr">
        <is>
          <t>1、已登录，当前用户是 Hero。只用正例场。
2、素材里「各街高风险决策分布」应对的值=n</t>
        </is>
      </c>
      <c r="M176" s="8" t="inlineStr">
        <is>
          <t>1、上传素材，生成复盘报告，等到能打开。
2、打开「各街高风险决策分布」，检查是否为n。</t>
        </is>
      </c>
      <c r="N176" s="8" t="inlineStr">
        <is>
          <t>各街高风险决策分布=n</t>
        </is>
      </c>
      <c r="O176" s="8" t="inlineStr">
        <is>
          <t>gto_decision_points.risk_by_street</t>
        </is>
      </c>
      <c r="P176" s="10" t="inlineStr">
        <is>
          <t>未执行</t>
        </is>
      </c>
      <c r="Q176" s="10" t="inlineStr"/>
      <c r="R176" s="11" t="inlineStr"/>
    </row>
    <row r="177" ht="72" customHeight="1">
      <c r="A177" s="5" t="inlineStr">
        <is>
          <t>TC-RPT-173</t>
        </is>
      </c>
      <c r="B177" s="5" t="inlineStr">
        <is>
          <t>risk_by_street</t>
        </is>
      </c>
      <c r="C177" s="5" t="inlineStr">
        <is>
          <t>各街高风险决策分布</t>
        </is>
      </c>
      <c r="D177" s="13" t="inlineStr">
        <is>
          <t>P1</t>
        </is>
      </c>
      <c r="E177" s="7" t="inlineStr">
        <is>
          <t>边界值分析法</t>
        </is>
      </c>
      <c r="F177" s="7" t="inlineStr">
        <is>
          <t>GTO决策</t>
        </is>
      </c>
      <c r="G177" s="7" t="inlineStr">
        <is>
          <t>内部</t>
        </is>
      </c>
      <c r="H177" s="8" t="inlineStr">
        <is>
          <t>高风险决策在哪些街次集中</t>
        </is>
      </c>
      <c r="I177" s="8" t="inlineStr">
        <is>
          <t>按 preflop / flop / turn / river 汇总 high_risk_count</t>
        </is>
      </c>
      <c r="J177" s="8" t="inlineStr">
        <is>
          <t>各街高风险决策分布反例-分母为0字段不出现</t>
        </is>
      </c>
      <c r="K177" s="12" t="inlineStr">
        <is>
          <t>反例</t>
        </is>
      </c>
      <c r="L177" s="8" t="inlineStr">
        <is>
          <t>1、已登录，当前用户是 Hero。
2、本场分母次数为 0。「各街高风险决策分布」应为空或不出现，不能写成 0% 或 100%。</t>
        </is>
      </c>
      <c r="M177" s="8" t="inlineStr">
        <is>
          <t>1、上传素材，生成复盘报告，等到能打开。
2、打开「各街高风险决策分布」，检查是否为空或不出现。</t>
        </is>
      </c>
      <c r="N177" s="8" t="inlineStr">
        <is>
          <t>各街高风险决策分布为空或不出现</t>
        </is>
      </c>
      <c r="O177" s="8" t="inlineStr">
        <is>
          <t>gto_decision_points.risk_by_street</t>
        </is>
      </c>
      <c r="P177" s="10" t="inlineStr">
        <is>
          <t>未执行</t>
        </is>
      </c>
      <c r="Q177" s="10" t="inlineStr"/>
      <c r="R177" s="11" t="inlineStr"/>
    </row>
    <row r="178" ht="72" customHeight="1">
      <c r="A178" s="5" t="inlineStr">
        <is>
          <t>TC-RPT-174</t>
        </is>
      </c>
      <c r="B178" s="5" t="inlineStr">
        <is>
          <t>risk_by_street</t>
        </is>
      </c>
      <c r="C178" s="5" t="inlineStr">
        <is>
          <t>各街高风险决策分布</t>
        </is>
      </c>
      <c r="D178" s="13" t="inlineStr">
        <is>
          <t>P1</t>
        </is>
      </c>
      <c r="E178" s="7" t="inlineStr">
        <is>
          <t>场景设计法</t>
        </is>
      </c>
      <c r="F178" s="7" t="inlineStr">
        <is>
          <t>GTO决策</t>
        </is>
      </c>
      <c r="G178" s="7" t="inlineStr">
        <is>
          <t>内部</t>
        </is>
      </c>
      <c r="H178" s="8" t="inlineStr">
        <is>
          <t>高风险决策在哪些街次集中</t>
        </is>
      </c>
      <c r="I178" s="8" t="inlineStr">
        <is>
          <t>按 preflop / flop / turn / river 汇总 high_risk_count</t>
        </is>
      </c>
      <c r="J178" s="8" t="inlineStr">
        <is>
          <t>各街高风险正例-翻前与河牌都有高风险点</t>
        </is>
      </c>
      <c r="K178" s="9" t="inlineStr">
        <is>
          <t>正例</t>
        </is>
      </c>
      <c r="L178" s="8" t="inlineStr">
        <is>
          <t>1、已登录，当前用户是 Hero。
2、素材含两个高风险点：翻前 1 个、河牌 1 个。各街高风险：翻前≥1，河牌≥1</t>
        </is>
      </c>
      <c r="M178" s="8" t="inlineStr">
        <is>
          <t>1、上传素材，生成复盘报告，等到能打开。
2、打开「各街高风险」，检查是否为翻前≥1且河牌≥1。</t>
        </is>
      </c>
      <c r="N178" s="8" t="inlineStr">
        <is>
          <t>各街高风险=翻前≥1且河牌≥1</t>
        </is>
      </c>
      <c r="O178" s="8" t="inlineStr">
        <is>
          <t>gto_decision_points.risk_by_street</t>
        </is>
      </c>
      <c r="P178" s="10" t="inlineStr">
        <is>
          <t>未执行</t>
        </is>
      </c>
      <c r="Q178" s="10" t="inlineStr"/>
      <c r="R178" s="11" t="inlineStr"/>
    </row>
    <row r="179" ht="72" customHeight="1">
      <c r="A179" s="5" t="inlineStr">
        <is>
          <t>TC-RPT-175</t>
        </is>
      </c>
      <c r="B179" s="5" t="inlineStr">
        <is>
          <t>risk_by_position</t>
        </is>
      </c>
      <c r="C179" s="5" t="inlineStr">
        <is>
          <t>各位置高风险决策分布</t>
        </is>
      </c>
      <c r="D179" s="13" t="inlineStr">
        <is>
          <t>P1</t>
        </is>
      </c>
      <c r="E179" s="7" t="inlineStr">
        <is>
          <t>正交试验法</t>
        </is>
      </c>
      <c r="F179" s="7" t="inlineStr">
        <is>
          <t>GTO决策</t>
        </is>
      </c>
      <c r="G179" s="7" t="inlineStr">
        <is>
          <t>内部</t>
        </is>
      </c>
      <c r="H179" s="8" t="inlineStr">
        <is>
          <t>高风险决策在哪些位置集中</t>
        </is>
      </c>
      <c r="I179" s="8" t="inlineStr">
        <is>
          <t>按 BTN / CO / SB / BB / UTG / MP 汇总 high_risk_count</t>
        </is>
      </c>
      <c r="J179" s="8" t="inlineStr">
        <is>
          <t>各位置高风险决策分布正例-高风险点按座位分组</t>
        </is>
      </c>
      <c r="K179" s="9" t="inlineStr">
        <is>
          <t>正例</t>
        </is>
      </c>
      <c r="L179" s="8" t="inlineStr">
        <is>
          <t>1、已登录，当前用户是 Hero。只用正例场。
2、2人/6人/9人桌各一场，每场位置名按该人数映射，对应值=n</t>
        </is>
      </c>
      <c r="M179" s="8" t="inlineStr">
        <is>
          <t>1、上传素材，生成复盘报告，等到能打开。
2、打开「各位置高风险决策分布」，检查是否为n。</t>
        </is>
      </c>
      <c r="N179" s="8" t="inlineStr">
        <is>
          <t>各位置高风险决策分布=n</t>
        </is>
      </c>
      <c r="O179" s="8" t="inlineStr">
        <is>
          <t>gto_decision_points.risk_by_position</t>
        </is>
      </c>
      <c r="P179" s="10" t="inlineStr">
        <is>
          <t>未执行</t>
        </is>
      </c>
      <c r="Q179" s="10" t="inlineStr"/>
      <c r="R179" s="11" t="inlineStr"/>
    </row>
    <row r="180" ht="72" customHeight="1">
      <c r="A180" s="5" t="inlineStr">
        <is>
          <t>TC-RPT-176</t>
        </is>
      </c>
      <c r="B180" s="5" t="inlineStr">
        <is>
          <t>risk_by_position</t>
        </is>
      </c>
      <c r="C180" s="5" t="inlineStr">
        <is>
          <t>各位置高风险决策分布</t>
        </is>
      </c>
      <c r="D180" s="13" t="inlineStr">
        <is>
          <t>P1</t>
        </is>
      </c>
      <c r="E180" s="7" t="inlineStr">
        <is>
          <t>边界值分析法</t>
        </is>
      </c>
      <c r="F180" s="7" t="inlineStr">
        <is>
          <t>GTO决策</t>
        </is>
      </c>
      <c r="G180" s="7" t="inlineStr">
        <is>
          <t>内部</t>
        </is>
      </c>
      <c r="H180" s="8" t="inlineStr">
        <is>
          <t>高风险决策在哪些位置集中</t>
        </is>
      </c>
      <c r="I180" s="8" t="inlineStr">
        <is>
          <t>按 BTN / CO / SB / BB / UTG / MP 汇总 high_risk_count</t>
        </is>
      </c>
      <c r="J180" s="8" t="inlineStr">
        <is>
          <t>各位置高风险决策分布反例-分母为0字段不出现</t>
        </is>
      </c>
      <c r="K180" s="12" t="inlineStr">
        <is>
          <t>反例</t>
        </is>
      </c>
      <c r="L180" s="8" t="inlineStr">
        <is>
          <t>1、已登录，当前用户是 Hero。
2、本场分母次数为 0。「各位置高风险决策分布」应为空或不出现，不能写成 0% 或 100%。</t>
        </is>
      </c>
      <c r="M180" s="8" t="inlineStr">
        <is>
          <t>1、上传素材，生成复盘报告，等到能打开。
2、打开「各位置高风险决策分布」，检查是否为空或不出现。</t>
        </is>
      </c>
      <c r="N180" s="8" t="inlineStr">
        <is>
          <t>各位置高风险决策分布为空或不出现</t>
        </is>
      </c>
      <c r="O180" s="8" t="inlineStr">
        <is>
          <t>gto_decision_points.risk_by_position</t>
        </is>
      </c>
      <c r="P180" s="10" t="inlineStr">
        <is>
          <t>未执行</t>
        </is>
      </c>
      <c r="Q180" s="10" t="inlineStr"/>
      <c r="R180" s="11" t="inlineStr"/>
    </row>
    <row r="181" ht="72" customHeight="1">
      <c r="A181" s="5" t="inlineStr">
        <is>
          <t>TC-RPT-177</t>
        </is>
      </c>
      <c r="B181" s="5" t="inlineStr">
        <is>
          <t>risk_by_pot_type</t>
        </is>
      </c>
      <c r="C181" s="5" t="inlineStr">
        <is>
          <t>高风险决策场景分布（AI标签）</t>
        </is>
      </c>
      <c r="D181" s="13" t="inlineStr">
        <is>
          <t>P1</t>
        </is>
      </c>
      <c r="E181" s="7" t="inlineStr">
        <is>
          <t>等价类划分法</t>
        </is>
      </c>
      <c r="F181" s="7" t="inlineStr">
        <is>
          <t>GTO决策</t>
        </is>
      </c>
      <c r="G181" s="7" t="inlineStr">
        <is>
          <t>内部</t>
        </is>
      </c>
      <c r="H181" s="8" t="inlineStr">
        <is>
          <t>高风险是否集中在高影响场景</t>
        </is>
      </c>
      <c r="I181" s="8" t="inlineStr">
        <is>
          <t>高风险决策场景分布采用多标签统计，每个高风险决策点可同时命中多个场景标签，标签按底池规模（大底池：决策点前底池 ≥ 50BB）、参与人数（多人底池：&gt;=3人）、Hero 位置（盲注位防守、前位入池）、翻前压力（面对 3-Bet、面对 4-Bet）、翻后压力（面对持续下注、面对 check-raise）、街次节点（转牌继续投入、河牌Hero 面对下注、河牌Hero 面对加注、河牌Hero 面对All-in、河牌可价值下注、河牌可诈唬下注、河牌可控池过牌、河牌可弃牌止损）、筹码风险（All-in、接近 All-in（下注额超过可下注筹码70%）） 7 个维度分别汇总</t>
        </is>
      </c>
      <c r="J181" s="8" t="inlineStr">
        <is>
          <t>高风险决策场景分布（AI标签）正例-高风险点多场景标签分别计数</t>
        </is>
      </c>
      <c r="K181" s="9" t="inlineStr">
        <is>
          <t>正例</t>
        </is>
      </c>
      <c r="L181" s="8" t="inlineStr">
        <is>
          <t>1、已登录，当前用户是 Hero。只用正例场。
2、素材里「高风险决策场景分布（AI标签）」应对的值=n</t>
        </is>
      </c>
      <c r="M181" s="8" t="inlineStr">
        <is>
          <t>1、上传素材，生成复盘报告，等到能打开。
2、打开「高风险决策场景分布（AI标签）」，检查是否为n。</t>
        </is>
      </c>
      <c r="N181" s="8" t="inlineStr">
        <is>
          <t>高风险决策场景分布（AI标签）=n</t>
        </is>
      </c>
      <c r="O181" s="8" t="inlineStr">
        <is>
          <t>gto_decision_points.risk_by_pot_type</t>
        </is>
      </c>
      <c r="P181" s="10" t="inlineStr">
        <is>
          <t>未执行</t>
        </is>
      </c>
      <c r="Q181" s="10" t="inlineStr"/>
      <c r="R181" s="11" t="inlineStr"/>
    </row>
    <row r="182" ht="72" customHeight="1">
      <c r="A182" s="5" t="inlineStr">
        <is>
          <t>TC-RPT-178</t>
        </is>
      </c>
      <c r="B182" s="5" t="inlineStr">
        <is>
          <t>risk_by_pot_type</t>
        </is>
      </c>
      <c r="C182" s="5" t="inlineStr">
        <is>
          <t>高风险决策场景分布（AI标签）</t>
        </is>
      </c>
      <c r="D182" s="13" t="inlineStr">
        <is>
          <t>P1</t>
        </is>
      </c>
      <c r="E182" s="7" t="inlineStr">
        <is>
          <t>边界值分析法</t>
        </is>
      </c>
      <c r="F182" s="7" t="inlineStr">
        <is>
          <t>GTO决策</t>
        </is>
      </c>
      <c r="G182" s="7" t="inlineStr">
        <is>
          <t>内部</t>
        </is>
      </c>
      <c r="H182" s="8" t="inlineStr">
        <is>
          <t>高风险是否集中在高影响场景</t>
        </is>
      </c>
      <c r="I182" s="8" t="inlineStr">
        <is>
          <t>高风险决策场景分布采用多标签统计，每个高风险决策点可同时命中多个场景标签，标签按底池规模（大底池：决策点前底池 ≥ 50BB）、参与人数（多人底池：&gt;=3人）、Hero 位置（盲注位防守、前位入池）、翻前压力（面对 3-Bet、面对 4-Bet）、翻后压力（面对持续下注、面对 check-raise）、街次节点（转牌继续投入、河牌Hero 面对下注、河牌Hero 面对加注、河牌Hero 面对All-in、河牌可价值下注、河牌可诈唬下注、河牌可控池过牌、河牌可弃牌止损）、筹码风险（All-in、接近 All-in（下注额超过可下注筹码70%）） 7 个维度分别汇总</t>
        </is>
      </c>
      <c r="J182" s="8" t="inlineStr">
        <is>
          <t>高风险决策场景分布（AI标签）反例-分母为0字段不出现</t>
        </is>
      </c>
      <c r="K182" s="12" t="inlineStr">
        <is>
          <t>反例</t>
        </is>
      </c>
      <c r="L182" s="8" t="inlineStr">
        <is>
          <t>1、已登录，当前用户是 Hero。
2、本场分母次数为 0。「高风险决策场景分布（AI标签）」应为空或不出现，不能写成 0% 或 100%。</t>
        </is>
      </c>
      <c r="M182" s="8" t="inlineStr">
        <is>
          <t>1、上传素材，生成复盘报告，等到能打开。
2、打开「高风险决策场景分布（AI标签）」，检查是否为空或不出现。</t>
        </is>
      </c>
      <c r="N182" s="8" t="inlineStr">
        <is>
          <t>高风险决策场景分布（AI标签）为空或不出现</t>
        </is>
      </c>
      <c r="O182" s="8" t="inlineStr">
        <is>
          <t>gto_decision_points.risk_by_pot_type</t>
        </is>
      </c>
      <c r="P182" s="10" t="inlineStr">
        <is>
          <t>未执行</t>
        </is>
      </c>
      <c r="Q182" s="10" t="inlineStr"/>
      <c r="R182" s="11" t="inlineStr"/>
    </row>
    <row r="183" ht="72" customHeight="1">
      <c r="A183" s="5" t="inlineStr">
        <is>
          <t>TC-RPT-179</t>
        </is>
      </c>
      <c r="B183" s="5" t="inlineStr">
        <is>
          <t>actual_action</t>
        </is>
      </c>
      <c r="C183" s="5" t="inlineStr">
        <is>
          <t>Hero 实际动作</t>
        </is>
      </c>
      <c r="D183" s="6" t="inlineStr">
        <is>
          <t>P0</t>
        </is>
      </c>
      <c r="E183" s="7" t="inlineStr">
        <is>
          <t>等价类划分法</t>
        </is>
      </c>
      <c r="F183" s="7" t="inlineStr">
        <is>
          <t>GTO决策</t>
        </is>
      </c>
      <c r="G183" s="7" t="inlineStr">
        <is>
          <t>内部 / 单手展示</t>
        </is>
      </c>
      <c r="H183" s="8" t="inlineStr">
        <is>
          <t>Hero 在该决策点真实采取的动作</t>
        </is>
      </c>
      <c r="I183" s="8" t="inlineStr">
        <is>
          <t>fold / check / call / bet / raise / all-in</t>
        </is>
      </c>
      <c r="J183" s="8" t="inlineStr">
        <is>
          <t>Hero 实际动作正例-决策点动作与录像一致</t>
        </is>
      </c>
      <c r="K183" s="9" t="inlineStr">
        <is>
          <t>正例</t>
        </is>
      </c>
      <c r="L183" s="8" t="inlineStr">
        <is>
          <t>1、已登录，当前用户是 Hero。只用正例场。
2、素材里「Hero 实际动作」应对的值=n</t>
        </is>
      </c>
      <c r="M183" s="8" t="inlineStr">
        <is>
          <t>1、上传素材，生成复盘报告，等到能打开。
2、打开「Hero 实际动作」，检查是否为n。</t>
        </is>
      </c>
      <c r="N183" s="8" t="inlineStr">
        <is>
          <t>Hero 实际动作=n</t>
        </is>
      </c>
      <c r="O183" s="8" t="inlineStr">
        <is>
          <t>gto_decision_points[].actual_action</t>
        </is>
      </c>
      <c r="P183" s="10" t="inlineStr">
        <is>
          <t>未执行</t>
        </is>
      </c>
      <c r="Q183" s="10" t="inlineStr"/>
      <c r="R183" s="11" t="inlineStr"/>
    </row>
    <row r="184" ht="72" customHeight="1">
      <c r="A184" s="5" t="inlineStr">
        <is>
          <t>TC-RPT-180</t>
        </is>
      </c>
      <c r="B184" s="5" t="inlineStr">
        <is>
          <t>actual_action</t>
        </is>
      </c>
      <c r="C184" s="5" t="inlineStr">
        <is>
          <t>Hero 实际动作</t>
        </is>
      </c>
      <c r="D184" s="6" t="inlineStr">
        <is>
          <t>P0</t>
        </is>
      </c>
      <c r="E184" s="7" t="inlineStr">
        <is>
          <t>等价类划分法</t>
        </is>
      </c>
      <c r="F184" s="7" t="inlineStr">
        <is>
          <t>GTO决策</t>
        </is>
      </c>
      <c r="G184" s="7" t="inlineStr">
        <is>
          <t>内部 / 单手展示</t>
        </is>
      </c>
      <c r="H184" s="8" t="inlineStr">
        <is>
          <t>Hero 在该决策点真实采取的动作</t>
        </is>
      </c>
      <c r="I184" s="8" t="inlineStr">
        <is>
          <t>fold / check / call / bet / raise / all-in</t>
        </is>
      </c>
      <c r="J184" s="8" t="inlineStr">
        <is>
          <t>Hero 实际动作反例-写成对手动作</t>
        </is>
      </c>
      <c r="K184" s="12" t="inlineStr">
        <is>
          <t>反例</t>
        </is>
      </c>
      <c r="L184" s="8" t="inlineStr">
        <is>
          <t>1、已登录，当前用户是 Hero。准备下列不该计入的素材。
2、写成对手动作，「Hero 实际动作」仍=n</t>
        </is>
      </c>
      <c r="M184" s="8" t="inlineStr">
        <is>
          <t>1、上传素材，生成复盘报告，等到能打开。
2、打开「Hero 实际动作」，检查是否为n。</t>
        </is>
      </c>
      <c r="N184" s="8" t="inlineStr">
        <is>
          <t>Hero 实际动作=n</t>
        </is>
      </c>
      <c r="O184" s="8" t="inlineStr">
        <is>
          <t>gto_decision_points[].actual_action</t>
        </is>
      </c>
      <c r="P184" s="10" t="inlineStr">
        <is>
          <t>未执行</t>
        </is>
      </c>
      <c r="Q184" s="10" t="inlineStr"/>
      <c r="R184" s="11" t="inlineStr"/>
    </row>
    <row r="185" ht="72" customHeight="1">
      <c r="A185" s="5" t="inlineStr">
        <is>
          <t>TC-RPT-181</t>
        </is>
      </c>
      <c r="B185" s="5" t="inlineStr">
        <is>
          <t>gto_recommended_action</t>
        </is>
      </c>
      <c r="C185" s="5" t="inlineStr">
        <is>
          <t>GTO 推荐动作</t>
        </is>
      </c>
      <c r="D185" s="6" t="inlineStr">
        <is>
          <t>P0</t>
        </is>
      </c>
      <c r="E185" s="7" t="inlineStr">
        <is>
          <t>等价类划分法</t>
        </is>
      </c>
      <c r="F185" s="7" t="inlineStr">
        <is>
          <t>GTO决策</t>
        </is>
      </c>
      <c r="G185" s="7" t="inlineStr">
        <is>
          <t>内部 / 单手展示</t>
        </is>
      </c>
      <c r="H185" s="8" t="inlineStr">
        <is>
          <t>GTO 标准推荐动作</t>
        </is>
      </c>
      <c r="I185" s="8" t="inlineStr">
        <is>
          <t>GTO 返回的动作及频率</t>
        </is>
      </c>
      <c r="J185" s="8" t="inlineStr">
        <is>
          <t>GTO 推荐动作正例-GTO主推荐动作与频率</t>
        </is>
      </c>
      <c r="K185" s="9" t="inlineStr">
        <is>
          <t>正例</t>
        </is>
      </c>
      <c r="L185" s="8" t="inlineStr">
        <is>
          <t>1、已登录，当前用户是 Hero。只用正例场。
2、素材里「GTO 推荐动作」应对的值=n</t>
        </is>
      </c>
      <c r="M185" s="8" t="inlineStr">
        <is>
          <t>1、上传素材，生成复盘报告，等到能打开。
2、打开「GTO 推荐动作」，检查是否为n。</t>
        </is>
      </c>
      <c r="N185" s="8" t="inlineStr">
        <is>
          <t>GTO 推荐动作=n</t>
        </is>
      </c>
      <c r="O185" s="8" t="inlineStr">
        <is>
          <t>gto_decision_points[].gto_recommended_action</t>
        </is>
      </c>
      <c r="P185" s="10" t="inlineStr">
        <is>
          <t>未执行</t>
        </is>
      </c>
      <c r="Q185" s="10" t="inlineStr"/>
      <c r="R185" s="11" t="inlineStr"/>
    </row>
    <row r="186" ht="72" customHeight="1">
      <c r="A186" s="5" t="inlineStr">
        <is>
          <t>TC-RPT-182</t>
        </is>
      </c>
      <c r="B186" s="5" t="inlineStr">
        <is>
          <t>gto_recommended_action</t>
        </is>
      </c>
      <c r="C186" s="5" t="inlineStr">
        <is>
          <t>GTO 推荐动作</t>
        </is>
      </c>
      <c r="D186" s="6" t="inlineStr">
        <is>
          <t>P0</t>
        </is>
      </c>
      <c r="E186" s="7" t="inlineStr">
        <is>
          <t>等价类划分法</t>
        </is>
      </c>
      <c r="F186" s="7" t="inlineStr">
        <is>
          <t>GTO决策</t>
        </is>
      </c>
      <c r="G186" s="7" t="inlineStr">
        <is>
          <t>内部 / 单手展示</t>
        </is>
      </c>
      <c r="H186" s="8" t="inlineStr">
        <is>
          <t>GTO 标准推荐动作</t>
        </is>
      </c>
      <c r="I186" s="8" t="inlineStr">
        <is>
          <t>GTO 返回的动作及频率</t>
        </is>
      </c>
      <c r="J186" s="8" t="inlineStr">
        <is>
          <t>GTO 推荐动作反例-无GTO填推荐</t>
        </is>
      </c>
      <c r="K186" s="12" t="inlineStr">
        <is>
          <t>反例</t>
        </is>
      </c>
      <c r="L186" s="8" t="inlineStr">
        <is>
          <t>1、已登录，当前用户是 Hero。准备下列不该计入的素材。
2、无GTO填推荐，「GTO 推荐动作」仍=n</t>
        </is>
      </c>
      <c r="M186" s="8" t="inlineStr">
        <is>
          <t>1、上传素材，生成复盘报告，等到能打开。
2、打开「GTO 推荐动作」，检查是否为n。</t>
        </is>
      </c>
      <c r="N186" s="8" t="inlineStr">
        <is>
          <t>GTO 推荐动作=n</t>
        </is>
      </c>
      <c r="O186" s="8" t="inlineStr">
        <is>
          <t>gto_decision_points[].gto_recommended_action</t>
        </is>
      </c>
      <c r="P186" s="10" t="inlineStr">
        <is>
          <t>未执行</t>
        </is>
      </c>
      <c r="Q186" s="10" t="inlineStr"/>
      <c r="R186" s="11" t="inlineStr"/>
    </row>
    <row r="187" ht="72" customHeight="1">
      <c r="A187" s="5" t="inlineStr">
        <is>
          <t>TC-RPT-183</t>
        </is>
      </c>
      <c r="B187" s="5" t="inlineStr">
        <is>
          <t>gto_recommended_action</t>
        </is>
      </c>
      <c r="C187" s="5" t="inlineStr">
        <is>
          <t>GTO 推荐动作</t>
        </is>
      </c>
      <c r="D187" s="6" t="inlineStr">
        <is>
          <t>P0</t>
        </is>
      </c>
      <c r="E187" s="7" t="inlineStr">
        <is>
          <t>错误推断法</t>
        </is>
      </c>
      <c r="F187" s="7" t="inlineStr">
        <is>
          <t>GTO决策</t>
        </is>
      </c>
      <c r="G187" s="7" t="inlineStr">
        <is>
          <t>内部 / 单手展示</t>
        </is>
      </c>
      <c r="H187" s="8" t="inlineStr">
        <is>
          <t>GTO 标准推荐动作</t>
        </is>
      </c>
      <c r="I187" s="8" t="inlineStr">
        <is>
          <t>GTO 返回的动作及频率</t>
        </is>
      </c>
      <c r="J187" s="8" t="inlineStr">
        <is>
          <t>GTO 推荐动作反例-源数据缺失不得编造</t>
        </is>
      </c>
      <c r="K187" s="12" t="inlineStr">
        <is>
          <t>反例</t>
        </is>
      </c>
      <c r="L187" s="8" t="inlineStr">
        <is>
          <t>1、已登录。本条只跑缺失场。
2、本场缺少「GTO 推荐动作」源数据。该点无 GTO 结果。</t>
        </is>
      </c>
      <c r="M187" s="8" t="inlineStr">
        <is>
          <t>1、上传素材，生成复盘报告，等到能打开。
2、打开「GTO 推荐动作」，检查是否为空或不出现。</t>
        </is>
      </c>
      <c r="N187" s="8" t="inlineStr">
        <is>
          <t>GTO 推荐动作为空或不出现</t>
        </is>
      </c>
      <c r="O187" s="8" t="inlineStr">
        <is>
          <t>gto_decision_points[].gto_recommended_action</t>
        </is>
      </c>
      <c r="P187" s="10" t="inlineStr">
        <is>
          <t>未执行</t>
        </is>
      </c>
      <c r="Q187" s="10" t="inlineStr"/>
      <c r="R187" s="11" t="inlineStr"/>
    </row>
    <row r="188" ht="72" customHeight="1">
      <c r="A188" s="5" t="inlineStr">
        <is>
          <t>TC-RPT-184</t>
        </is>
      </c>
      <c r="B188" s="5" t="inlineStr">
        <is>
          <t>gto_action_tendency</t>
        </is>
      </c>
      <c r="C188" s="5" t="inlineStr">
        <is>
          <t>GTO 动作倾向（AI标签）</t>
        </is>
      </c>
      <c r="D188" s="6" t="inlineStr">
        <is>
          <t>P0</t>
        </is>
      </c>
      <c r="E188" s="7" t="inlineStr">
        <is>
          <t>等价类划分法</t>
        </is>
      </c>
      <c r="F188" s="7" t="inlineStr">
        <is>
          <t>GTO决策</t>
        </is>
      </c>
      <c r="G188" s="7" t="inlineStr">
        <is>
          <t>内部</t>
        </is>
      </c>
      <c r="H188" s="8" t="inlineStr">
        <is>
          <t>GTO 参考的自然语言方向</t>
        </is>
      </c>
      <c r="I188" s="8" t="inlineStr">
        <is>
          <t>更倾向弃牌 / 过牌控池 / 跟注 / 价值下注 / 加注施压  / All-in 施压  / All-in 跟注</t>
        </is>
      </c>
      <c r="J188" s="8" t="inlineStr">
        <is>
          <t>GTO 动作倾向（AI标签）正例-GTO倾向自然语言描述</t>
        </is>
      </c>
      <c r="K188" s="9" t="inlineStr">
        <is>
          <t>正例</t>
        </is>
      </c>
      <c r="L188" s="8" t="inlineStr">
        <is>
          <t>1、已登录，当前用户是 Hero。只用正例场。
2、素材里「GTO 动作倾向（AI标签）」应对的值=n</t>
        </is>
      </c>
      <c r="M188" s="8" t="inlineStr">
        <is>
          <t>1、上传素材，生成复盘报告，等到能打开。
2、打开「GTO 动作倾向（AI标签）」，检查是否为n。</t>
        </is>
      </c>
      <c r="N188" s="8" t="inlineStr">
        <is>
          <t>GTO 动作倾向（AI标签）=n</t>
        </is>
      </c>
      <c r="O188" s="8" t="inlineStr">
        <is>
          <t>gto_decision_points[].gto_action_tendency</t>
        </is>
      </c>
      <c r="P188" s="10" t="inlineStr">
        <is>
          <t>未执行</t>
        </is>
      </c>
      <c r="Q188" s="10" t="inlineStr"/>
      <c r="R188" s="11" t="inlineStr"/>
    </row>
    <row r="189" ht="72" customHeight="1">
      <c r="A189" s="5" t="inlineStr">
        <is>
          <t>TC-RPT-185</t>
        </is>
      </c>
      <c r="B189" s="5" t="inlineStr">
        <is>
          <t>gto_action_tendency</t>
        </is>
      </c>
      <c r="C189" s="5" t="inlineStr">
        <is>
          <t>GTO 动作倾向（AI标签）</t>
        </is>
      </c>
      <c r="D189" s="6" t="inlineStr">
        <is>
          <t>P0</t>
        </is>
      </c>
      <c r="E189" s="7" t="inlineStr">
        <is>
          <t>等价类划分法</t>
        </is>
      </c>
      <c r="F189" s="7" t="inlineStr">
        <is>
          <t>GTO决策</t>
        </is>
      </c>
      <c r="G189" s="7" t="inlineStr">
        <is>
          <t>内部</t>
        </is>
      </c>
      <c r="H189" s="8" t="inlineStr">
        <is>
          <t>GTO 参考的自然语言方向</t>
        </is>
      </c>
      <c r="I189" s="8" t="inlineStr">
        <is>
          <t>更倾向弃牌 / 过牌控池 / 跟注 / 价值下注 / 加注施压  / All-in 施压  / All-in 跟注</t>
        </is>
      </c>
      <c r="J189" s="8" t="inlineStr">
        <is>
          <t>GTO 动作倾向（AI标签）反例-枚举外乱写描述</t>
        </is>
      </c>
      <c r="K189" s="12" t="inlineStr">
        <is>
          <t>反例</t>
        </is>
      </c>
      <c r="L189" s="8" t="inlineStr">
        <is>
          <t>1、已登录，当前用户是 Hero。准备下列不该计入的素材。
2、枚举外乱写描述，「GTO 动作倾向（AI标签）」仍=n</t>
        </is>
      </c>
      <c r="M189" s="8" t="inlineStr">
        <is>
          <t>1、上传素材，生成复盘报告，等到能打开。
2、打开「GTO 动作倾向（AI标签）」，检查是否为n。</t>
        </is>
      </c>
      <c r="N189" s="8" t="inlineStr">
        <is>
          <t>GTO 动作倾向（AI标签）=n</t>
        </is>
      </c>
      <c r="O189" s="8" t="inlineStr">
        <is>
          <t>gto_decision_points[].gto_action_tendency</t>
        </is>
      </c>
      <c r="P189" s="10" t="inlineStr">
        <is>
          <t>未执行</t>
        </is>
      </c>
      <c r="Q189" s="10" t="inlineStr"/>
      <c r="R189" s="11" t="inlineStr"/>
    </row>
    <row r="190" ht="72" customHeight="1">
      <c r="A190" s="5" t="inlineStr">
        <is>
          <t>TC-RPT-186</t>
        </is>
      </c>
      <c r="B190" s="5" t="inlineStr">
        <is>
          <t>gto_action_tendency</t>
        </is>
      </c>
      <c r="C190" s="5" t="inlineStr">
        <is>
          <t>GTO 动作倾向（AI标签）</t>
        </is>
      </c>
      <c r="D190" s="6" t="inlineStr">
        <is>
          <t>P0</t>
        </is>
      </c>
      <c r="E190" s="7" t="inlineStr">
        <is>
          <t>错误推断法</t>
        </is>
      </c>
      <c r="F190" s="7" t="inlineStr">
        <is>
          <t>GTO决策</t>
        </is>
      </c>
      <c r="G190" s="7" t="inlineStr">
        <is>
          <t>内部</t>
        </is>
      </c>
      <c r="H190" s="8" t="inlineStr">
        <is>
          <t>GTO 参考的自然语言方向</t>
        </is>
      </c>
      <c r="I190" s="8" t="inlineStr">
        <is>
          <t>更倾向弃牌 / 过牌控池 / 跟注 / 价值下注 / 加注施压  / All-in 施压  / All-in 跟注</t>
        </is>
      </c>
      <c r="J190" s="8" t="inlineStr">
        <is>
          <t>GTO 动作倾向（AI标签）反例-源数据缺失不得编造</t>
        </is>
      </c>
      <c r="K190" s="12" t="inlineStr">
        <is>
          <t>反例</t>
        </is>
      </c>
      <c r="L190" s="8" t="inlineStr">
        <is>
          <t>1、已登录。本条只跑缺失场。
2、本场缺少「GTO 动作倾向（AI标签）」源数据。无 GTO。</t>
        </is>
      </c>
      <c r="M190" s="8" t="inlineStr">
        <is>
          <t>1、上传素材，生成复盘报告，等到能打开。
2、打开「GTO 动作倾向（AI标签）」，检查是否为空或不出现。</t>
        </is>
      </c>
      <c r="N190" s="8" t="inlineStr">
        <is>
          <t>GTO 动作倾向（AI标签）为空或不出现</t>
        </is>
      </c>
      <c r="O190" s="8" t="inlineStr">
        <is>
          <t>gto_decision_points[].gto_action_tendency</t>
        </is>
      </c>
      <c r="P190" s="10" t="inlineStr">
        <is>
          <t>未执行</t>
        </is>
      </c>
      <c r="Q190" s="10" t="inlineStr"/>
      <c r="R190" s="11" t="inlineStr"/>
    </row>
    <row r="191" ht="72" customHeight="1">
      <c r="A191" s="5" t="inlineStr">
        <is>
          <t>TC-RPT-187</t>
        </is>
      </c>
      <c r="B191" s="5" t="inlineStr">
        <is>
          <t>decision_quality_label</t>
        </is>
      </c>
      <c r="C191" s="5" t="inlineStr">
        <is>
          <t>决策质量分类</t>
        </is>
      </c>
      <c r="D191" s="6" t="inlineStr">
        <is>
          <t>P0</t>
        </is>
      </c>
      <c r="E191" s="7" t="inlineStr">
        <is>
          <t>判定表法</t>
        </is>
      </c>
      <c r="F191" s="7" t="inlineStr">
        <is>
          <t>GTO决策</t>
        </is>
      </c>
      <c r="G191" s="7" t="inlineStr">
        <is>
          <t>内部</t>
        </is>
      </c>
      <c r="H191" s="8" t="inlineStr">
        <is>
          <t>单个决策点质量标签</t>
        </is>
      </c>
      <c r="I191" s="8" t="inlineStr">
        <is>
          <t>符合 GTO 标准 / 基本可接受 / 风险偏高 / 信息不足</t>
        </is>
      </c>
      <c r="J191" s="8" t="inlineStr">
        <is>
          <t>决策质量分类正例-四类质量标签各有样本</t>
        </is>
      </c>
      <c r="K191" s="9" t="inlineStr">
        <is>
          <t>正例</t>
        </is>
      </c>
      <c r="L191" s="8" t="inlineStr">
        <is>
          <t>1、已登录，当前用户是 Hero。只用正例场。
2、素材里 4 类决策点各至少 1 个，标签已定：符合GTO / 基本可接受 / 风险偏高 / 信息不够</t>
        </is>
      </c>
      <c r="M191" s="8" t="inlineStr">
        <is>
          <t>1、上传素材，生成复盘报告，等到能打开。
2、打开「决策质量分类」，检查是否为前置里的标签。</t>
        </is>
      </c>
      <c r="N191" s="8" t="inlineStr">
        <is>
          <t>决策质量分类=前置里的标签</t>
        </is>
      </c>
      <c r="O191" s="8" t="inlineStr">
        <is>
          <t>gto_decision_points[].decision_quality_label</t>
        </is>
      </c>
      <c r="P191" s="10" t="inlineStr">
        <is>
          <t>未执行</t>
        </is>
      </c>
      <c r="Q191" s="10" t="inlineStr"/>
      <c r="R191" s="11" t="inlineStr"/>
    </row>
    <row r="192" ht="72" customHeight="1">
      <c r="A192" s="5" t="inlineStr">
        <is>
          <t>TC-RPT-188</t>
        </is>
      </c>
      <c r="B192" s="5" t="inlineStr">
        <is>
          <t>decision_quality_label</t>
        </is>
      </c>
      <c r="C192" s="5" t="inlineStr">
        <is>
          <t>决策质量分类</t>
        </is>
      </c>
      <c r="D192" s="6" t="inlineStr">
        <is>
          <t>P0</t>
        </is>
      </c>
      <c r="E192" s="7" t="inlineStr">
        <is>
          <t>边界值分析法</t>
        </is>
      </c>
      <c r="F192" s="7" t="inlineStr">
        <is>
          <t>GTO决策</t>
        </is>
      </c>
      <c r="G192" s="7" t="inlineStr">
        <is>
          <t>内部</t>
        </is>
      </c>
      <c r="H192" s="8" t="inlineStr">
        <is>
          <t>单个决策点质量标签</t>
        </is>
      </c>
      <c r="I192" s="8" t="inlineStr">
        <is>
          <t>符合 GTO 标准 / 基本可接受 / 风险偏高 / 信息不足</t>
        </is>
      </c>
      <c r="J192" s="8" t="inlineStr">
        <is>
          <t>决策质量分类反例-自造第五类标签</t>
        </is>
      </c>
      <c r="K192" s="12" t="inlineStr">
        <is>
          <t>反例</t>
        </is>
      </c>
      <c r="L192" s="8" t="inlineStr">
        <is>
          <t>1、已登录，当前用户是 Hero。准备下列不该计入的素材。
2、边界样本标签已定：频率刚好 30%，或加注额刚好比推荐多/少 30%，对应值=n</t>
        </is>
      </c>
      <c r="M192" s="8" t="inlineStr">
        <is>
          <t>1、上传素材，生成复盘报告，等到能打开。
2、打开「决策质量分类」，检查是否为n。</t>
        </is>
      </c>
      <c r="N192" s="8" t="inlineStr">
        <is>
          <t>决策质量分类=n</t>
        </is>
      </c>
      <c r="O192" s="8" t="inlineStr">
        <is>
          <t>gto_decision_points[].decision_quality_label</t>
        </is>
      </c>
      <c r="P192" s="10" t="inlineStr">
        <is>
          <t>未执行</t>
        </is>
      </c>
      <c r="Q192" s="10" t="inlineStr"/>
      <c r="R192" s="11" t="inlineStr"/>
    </row>
    <row r="193" ht="72" customHeight="1">
      <c r="A193" s="5" t="inlineStr">
        <is>
          <t>TC-RPT-189</t>
        </is>
      </c>
      <c r="B193" s="5" t="inlineStr">
        <is>
          <t>vpip_rate</t>
        </is>
      </c>
      <c r="C193" s="5" t="inlineStr">
        <is>
          <t>主动参与率 VPIP</t>
        </is>
      </c>
      <c r="D193" s="13" t="inlineStr">
        <is>
          <t>P1</t>
        </is>
      </c>
      <c r="E193" s="7" t="inlineStr">
        <is>
          <t>边界值分析法</t>
        </is>
      </c>
      <c r="F193" s="7" t="inlineStr">
        <is>
          <t>打法画像</t>
        </is>
      </c>
      <c r="G193" s="7" t="inlineStr">
        <is>
          <t>内部</t>
        </is>
      </c>
      <c r="H193" s="8" t="inlineStr">
        <is>
          <t>Hero 自愿参与底池比例</t>
        </is>
      </c>
      <c r="I193" s="8" t="inlineStr">
        <is>
          <t>自愿入池手数 / 总手数；盲注自动投入不算自愿入池</t>
        </is>
      </c>
      <c r="J193" s="8" t="inlineStr">
        <is>
          <t>主动参与率 VPIP反例-分母为0字段不出现</t>
        </is>
      </c>
      <c r="K193" s="12" t="inlineStr">
        <is>
          <t>反例</t>
        </is>
      </c>
      <c r="L193" s="8" t="inlineStr">
        <is>
          <t>1、已登录，当前用户是 Hero。
2、本场识别手数为 0。「主动参与率 VPIP」应为空或不出现，不能写成 0% 或 100%。</t>
        </is>
      </c>
      <c r="M193" s="8" t="inlineStr">
        <is>
          <t>1、上传素材，生成复盘报告，等到能打开。
2、打开「主动参与率 VPIP」，检查是否为空或不出现。</t>
        </is>
      </c>
      <c r="N193" s="8" t="inlineStr">
        <is>
          <t>主动参与率 VPIP为空或不出现</t>
        </is>
      </c>
      <c r="O193" s="8" t="inlineStr">
        <is>
          <t>style_profile_stats.vpip_rate</t>
        </is>
      </c>
      <c r="P193" s="10" t="inlineStr">
        <is>
          <t>未执行</t>
        </is>
      </c>
      <c r="Q193" s="10" t="inlineStr"/>
      <c r="R193" s="11" t="inlineStr"/>
    </row>
    <row r="194" ht="72" customHeight="1">
      <c r="A194" s="5" t="inlineStr">
        <is>
          <t>TC-RPT-190</t>
        </is>
      </c>
      <c r="B194" s="5" t="inlineStr">
        <is>
          <t>vpip_rate</t>
        </is>
      </c>
      <c r="C194" s="5" t="inlineStr">
        <is>
          <t>主动参与率 VPIP</t>
        </is>
      </c>
      <c r="D194" s="13" t="inlineStr">
        <is>
          <t>P1</t>
        </is>
      </c>
      <c r="E194" s="7" t="inlineStr">
        <is>
          <t>边界值分析法</t>
        </is>
      </c>
      <c r="F194" s="7" t="inlineStr">
        <is>
          <t>打法画像</t>
        </is>
      </c>
      <c r="G194" s="7" t="inlineStr">
        <is>
          <t>内部</t>
        </is>
      </c>
      <c r="H194" s="8" t="inlineStr">
        <is>
          <t>Hero 自愿参与底池比例</t>
        </is>
      </c>
      <c r="I194" s="8" t="inlineStr">
        <is>
          <t>自愿入池手数 / 总手数；盲注自动投入不算自愿入池</t>
        </is>
      </c>
      <c r="J194" s="8" t="inlineStr">
        <is>
          <t>主动参与率 VPIP正例-单位与换算正确</t>
        </is>
      </c>
      <c r="K194" s="9" t="inlineStr">
        <is>
          <t>正例</t>
        </is>
      </c>
      <c r="L194" s="8" t="inlineStr">
        <is>
          <t>1、已登录，当前用户是 Hero。
2、各手筹码和大盲已记下，按该手换算后「主动参与率 VPIP」=n</t>
        </is>
      </c>
      <c r="M194" s="8" t="inlineStr">
        <is>
          <t>1、上传素材，生成复盘报告，等到能打开。
2、打开「主动参与率 VPIP」，检查是否为n。</t>
        </is>
      </c>
      <c r="N194" s="8" t="inlineStr">
        <is>
          <t>主动参与率 VPIP=n</t>
        </is>
      </c>
      <c r="O194" s="8" t="inlineStr">
        <is>
          <t>style_profile_stats.vpip_rate</t>
        </is>
      </c>
      <c r="P194" s="10" t="inlineStr">
        <is>
          <t>未执行</t>
        </is>
      </c>
      <c r="Q194" s="10" t="inlineStr"/>
      <c r="R194" s="11" t="inlineStr"/>
    </row>
    <row r="195" ht="72" customHeight="1">
      <c r="A195" s="5" t="inlineStr">
        <is>
          <t>TC-RPT-191</t>
        </is>
      </c>
      <c r="B195" s="5" t="inlineStr">
        <is>
          <t>vpip_rate</t>
        </is>
      </c>
      <c r="C195" s="5" t="inlineStr">
        <is>
          <t>主动参与率 VPIP</t>
        </is>
      </c>
      <c r="D195" s="13" t="inlineStr">
        <is>
          <t>P1</t>
        </is>
      </c>
      <c r="E195" s="7" t="inlineStr">
        <is>
          <t>场景设计法</t>
        </is>
      </c>
      <c r="F195" s="7" t="inlineStr">
        <is>
          <t>打法画像</t>
        </is>
      </c>
      <c r="G195" s="7" t="inlineStr">
        <is>
          <t>内部</t>
        </is>
      </c>
      <c r="H195" s="8" t="inlineStr">
        <is>
          <t>Hero 自愿参与底池比例</t>
        </is>
      </c>
      <c r="I195" s="8" t="inlineStr">
        <is>
          <t>自愿入池手数 / 总手数；盲注自动投入不算自愿入池</t>
        </is>
      </c>
      <c r="J195" s="8" t="inlineStr">
        <is>
          <t>主动参与率正例-前面无人加注时平跟</t>
        </is>
      </c>
      <c r="K195" s="9" t="inlineStr">
        <is>
          <t>正例</t>
        </is>
      </c>
      <c r="L195" s="8" t="inlineStr">
        <is>
          <t>1、已登录，当前用户是 Hero。
2、素材里前面无人加注、用户平跟的手数=a，总手数=b，「主动参与率」应对=a/b</t>
        </is>
      </c>
      <c r="M195" s="8" t="inlineStr">
        <is>
          <t>1、上传素材，生成复盘报告，等到能打开。
2、打开「主动参与率 VPIP」，检查是否为a/b。</t>
        </is>
      </c>
      <c r="N195" s="8" t="inlineStr">
        <is>
          <t>主动参与率 VPIP=a/b</t>
        </is>
      </c>
      <c r="O195" s="8" t="inlineStr">
        <is>
          <t>style_profile_stats.vpip_rate</t>
        </is>
      </c>
      <c r="P195" s="10" t="inlineStr">
        <is>
          <t>未执行</t>
        </is>
      </c>
      <c r="Q195" s="10" t="inlineStr"/>
      <c r="R195" s="11" t="inlineStr"/>
    </row>
    <row r="196" ht="72" customHeight="1">
      <c r="A196" s="5" t="inlineStr">
        <is>
          <t>TC-RPT-192</t>
        </is>
      </c>
      <c r="B196" s="5" t="inlineStr">
        <is>
          <t>vpip_rate</t>
        </is>
      </c>
      <c r="C196" s="5" t="inlineStr">
        <is>
          <t>主动参与率 VPIP</t>
        </is>
      </c>
      <c r="D196" s="13" t="inlineStr">
        <is>
          <t>P1</t>
        </is>
      </c>
      <c r="E196" s="7" t="inlineStr">
        <is>
          <t>场景设计法</t>
        </is>
      </c>
      <c r="F196" s="7" t="inlineStr">
        <is>
          <t>打法画像</t>
        </is>
      </c>
      <c r="G196" s="7" t="inlineStr">
        <is>
          <t>内部</t>
        </is>
      </c>
      <c r="H196" s="8" t="inlineStr">
        <is>
          <t>Hero 自愿参与底池比例</t>
        </is>
      </c>
      <c r="I196" s="8" t="inlineStr">
        <is>
          <t>自愿入池手数 / 总手数；盲注自动投入不算自愿入池</t>
        </is>
      </c>
      <c r="J196" s="8" t="inlineStr">
        <is>
          <t>主动参与率正例-面对加注自愿跟注</t>
        </is>
      </c>
      <c r="K196" s="9" t="inlineStr">
        <is>
          <t>正例</t>
        </is>
      </c>
      <c r="L196" s="8" t="inlineStr">
        <is>
          <t>1、已登录，当前用户是 Hero。
2、素材里面对加注选择跟注的手数计入分子。主动跟注或加注=a，总手数=b，主动参与率=a/b</t>
        </is>
      </c>
      <c r="M196" s="8" t="inlineStr">
        <is>
          <t>1、上传素材，生成复盘报告，等到能打开。
2、打开「主动参与率 VPIP」，检查是否为a/b。</t>
        </is>
      </c>
      <c r="N196" s="8" t="inlineStr">
        <is>
          <t>主动参与率 VPIP=a/b</t>
        </is>
      </c>
      <c r="O196" s="8" t="inlineStr">
        <is>
          <t>style_profile_stats.vpip_rate</t>
        </is>
      </c>
      <c r="P196" s="10" t="inlineStr">
        <is>
          <t>未执行</t>
        </is>
      </c>
      <c r="Q196" s="10" t="inlineStr"/>
      <c r="R196" s="11" t="inlineStr"/>
    </row>
    <row r="197" ht="72" customHeight="1">
      <c r="A197" s="5" t="inlineStr">
        <is>
          <t>TC-RPT-193</t>
        </is>
      </c>
      <c r="B197" s="5" t="inlineStr">
        <is>
          <t>vpip_rate</t>
        </is>
      </c>
      <c r="C197" s="5" t="inlineStr">
        <is>
          <t>主动参与率 VPIP</t>
        </is>
      </c>
      <c r="D197" s="13" t="inlineStr">
        <is>
          <t>P1</t>
        </is>
      </c>
      <c r="E197" s="7" t="inlineStr">
        <is>
          <t>场景设计法</t>
        </is>
      </c>
      <c r="F197" s="7" t="inlineStr">
        <is>
          <t>打法画像</t>
        </is>
      </c>
      <c r="G197" s="7" t="inlineStr">
        <is>
          <t>内部</t>
        </is>
      </c>
      <c r="H197" s="8" t="inlineStr">
        <is>
          <t>Hero 自愿参与底池比例</t>
        </is>
      </c>
      <c r="I197" s="8" t="inlineStr">
        <is>
          <t>自愿入池手数 / 总手数；盲注自动投入不算自愿入池</t>
        </is>
      </c>
      <c r="J197" s="8" t="inlineStr">
        <is>
          <t>主动参与率正例-主动加注</t>
        </is>
      </c>
      <c r="K197" s="9" t="inlineStr">
        <is>
          <t>正例</t>
        </is>
      </c>
      <c r="L197" s="8" t="inlineStr">
        <is>
          <t>1、已登录，当前用户是 Hero。
2、素材里自愿加注手数计入分子。主动跟注或加注=a，总手数=b，主动参与率=a/b</t>
        </is>
      </c>
      <c r="M197" s="8" t="inlineStr">
        <is>
          <t>1、上传素材，生成复盘报告，等到能打开。
2、打开「主动参与率 VPIP」，检查是否为a/b。</t>
        </is>
      </c>
      <c r="N197" s="8" t="inlineStr">
        <is>
          <t>主动参与率 VPIP=a/b</t>
        </is>
      </c>
      <c r="O197" s="8" t="inlineStr">
        <is>
          <t>style_profile_stats.vpip_rate</t>
        </is>
      </c>
      <c r="P197" s="10" t="inlineStr">
        <is>
          <t>未执行</t>
        </is>
      </c>
      <c r="Q197" s="10" t="inlineStr"/>
      <c r="R197" s="11" t="inlineStr"/>
    </row>
    <row r="198" ht="72" customHeight="1">
      <c r="A198" s="5" t="inlineStr">
        <is>
          <t>TC-RPT-194</t>
        </is>
      </c>
      <c r="B198" s="5" t="inlineStr">
        <is>
          <t>vpip_rate</t>
        </is>
      </c>
      <c r="C198" s="5" t="inlineStr">
        <is>
          <t>主动参与率 VPIP</t>
        </is>
      </c>
      <c r="D198" s="13" t="inlineStr">
        <is>
          <t>P1</t>
        </is>
      </c>
      <c r="E198" s="7" t="inlineStr">
        <is>
          <t>场景设计法</t>
        </is>
      </c>
      <c r="F198" s="7" t="inlineStr">
        <is>
          <t>打法画像</t>
        </is>
      </c>
      <c r="G198" s="7" t="inlineStr">
        <is>
          <t>内部</t>
        </is>
      </c>
      <c r="H198" s="8" t="inlineStr">
        <is>
          <t>Hero 自愿参与底池比例</t>
        </is>
      </c>
      <c r="I198" s="8" t="inlineStr">
        <is>
          <t>自愿入池手数 / 总手数；盲注自动投入不算自愿入池</t>
        </is>
      </c>
      <c r="J198" s="8" t="inlineStr">
        <is>
          <t>主动参与率反例-Hero小盲位翻前直接弃牌</t>
        </is>
      </c>
      <c r="K198" s="12" t="inlineStr">
        <is>
          <t>反例</t>
        </is>
      </c>
      <c r="L198" s="8" t="inlineStr">
        <is>
          <t>1、已登录，当前用户是 Hero。
2、素材含一手：Hero坐小盲位，除已下小盲外未再下注，翻前直接弃牌。总手数含它，主动参与率分子不含，主动参与率=a/b</t>
        </is>
      </c>
      <c r="M198" s="8" t="inlineStr">
        <is>
          <t>1、上传素材，生成复盘报告，等到能打开。
2、打开「主动参与率 VPIP」，检查是否为a/b。</t>
        </is>
      </c>
      <c r="N198" s="8" t="inlineStr">
        <is>
          <t>主动参与率 VPIP=a/b</t>
        </is>
      </c>
      <c r="O198" s="8" t="inlineStr">
        <is>
          <t>style_profile_stats.vpip_rate</t>
        </is>
      </c>
      <c r="P198" s="10" t="inlineStr">
        <is>
          <t>未执行</t>
        </is>
      </c>
      <c r="Q198" s="10" t="inlineStr"/>
      <c r="R198" s="11" t="inlineStr"/>
    </row>
    <row r="199" ht="72" customHeight="1">
      <c r="A199" s="5" t="inlineStr">
        <is>
          <t>TC-RPT-195</t>
        </is>
      </c>
      <c r="B199" s="5" t="inlineStr">
        <is>
          <t>vpip_rate</t>
        </is>
      </c>
      <c r="C199" s="5" t="inlineStr">
        <is>
          <t>主动参与率 VPIP</t>
        </is>
      </c>
      <c r="D199" s="13" t="inlineStr">
        <is>
          <t>P1</t>
        </is>
      </c>
      <c r="E199" s="7" t="inlineStr">
        <is>
          <t>场景设计法</t>
        </is>
      </c>
      <c r="F199" s="7" t="inlineStr">
        <is>
          <t>打法画像</t>
        </is>
      </c>
      <c r="G199" s="7" t="inlineStr">
        <is>
          <t>内部</t>
        </is>
      </c>
      <c r="H199" s="8" t="inlineStr">
        <is>
          <t>Hero 自愿参与底池比例</t>
        </is>
      </c>
      <c r="I199" s="8" t="inlineStr">
        <is>
          <t>自愿入池手数 / 总手数；盲注自动投入不算自愿入池</t>
        </is>
      </c>
      <c r="J199" s="8" t="inlineStr">
        <is>
          <t>主动参与率反例-大盲无人加注过牌看翻牌</t>
        </is>
      </c>
      <c r="K199" s="12" t="inlineStr">
        <is>
          <t>反例</t>
        </is>
      </c>
      <c r="L199" s="8" t="inlineStr">
        <is>
          <t>1、已登录，当前用户是 Hero。
2、素材含一手：Hero坐大盲，前面没人加注，用户过牌，发出翻牌。参与手数含它，主动参与率分子不含它，主动参与率=a/b</t>
        </is>
      </c>
      <c r="M199" s="8" t="inlineStr">
        <is>
          <t>1、上传素材，生成复盘报告，等到能打开。
2、打开「主动参与率 VPIP」，检查是否为a/b。</t>
        </is>
      </c>
      <c r="N199" s="8" t="inlineStr">
        <is>
          <t>主动参与率 VPIP=a/b</t>
        </is>
      </c>
      <c r="O199" s="8" t="inlineStr">
        <is>
          <t>style_profile_stats.vpip_rate</t>
        </is>
      </c>
      <c r="P199" s="10" t="inlineStr">
        <is>
          <t>未执行</t>
        </is>
      </c>
      <c r="Q199" s="10" t="inlineStr"/>
      <c r="R199" s="11" t="inlineStr"/>
    </row>
    <row r="200" ht="72" customHeight="1">
      <c r="A200" s="5" t="inlineStr">
        <is>
          <t>TC-RPT-196</t>
        </is>
      </c>
      <c r="B200" s="5" t="inlineStr">
        <is>
          <t>vpip_rate</t>
        </is>
      </c>
      <c r="C200" s="5" t="inlineStr">
        <is>
          <t>主动参与率 VPIP</t>
        </is>
      </c>
      <c r="D200" s="13" t="inlineStr">
        <is>
          <t>P1</t>
        </is>
      </c>
      <c r="E200" s="7" t="inlineStr">
        <is>
          <t>场景设计法</t>
        </is>
      </c>
      <c r="F200" s="7" t="inlineStr">
        <is>
          <t>打法画像</t>
        </is>
      </c>
      <c r="G200" s="7" t="inlineStr">
        <is>
          <t>内部</t>
        </is>
      </c>
      <c r="H200" s="8" t="inlineStr">
        <is>
          <t>Hero 自愿参与底池比例</t>
        </is>
      </c>
      <c r="I200" s="8" t="inlineStr">
        <is>
          <t>自愿入池手数 / 总手数；盲注自动投入不算自愿入池</t>
        </is>
      </c>
      <c r="J200" s="8" t="inlineStr">
        <is>
          <t>主动参与率反例-ClubGG托管大盲无人加注系统代过牌看翻牌</t>
        </is>
      </c>
      <c r="K200" s="12" t="inlineStr">
        <is>
          <t>反例</t>
        </is>
      </c>
      <c r="L200" s="8" t="inlineStr">
        <is>
          <t>1、已登录，当前用户是 Hero。
2、素材含一手（ClubGG）：Hero处于托管，坐大盲前面无人加注，系统代其过牌后发出翻牌。参与手数含它，主动参与率分子不含，主动参与率=a/b</t>
        </is>
      </c>
      <c r="M200" s="8" t="inlineStr">
        <is>
          <t>1、上传素材，生成复盘报告，等到能打开。
2、打开「主动参与率 VPIP」，检查是否为a/b。</t>
        </is>
      </c>
      <c r="N200" s="8" t="inlineStr">
        <is>
          <t>主动参与率 VPIP=a/b</t>
        </is>
      </c>
      <c r="O200" s="8" t="inlineStr">
        <is>
          <t>style_profile_stats.vpip_rate</t>
        </is>
      </c>
      <c r="P200" s="10" t="inlineStr">
        <is>
          <t>未执行</t>
        </is>
      </c>
      <c r="Q200" s="10" t="inlineStr"/>
      <c r="R200" s="11" t="inlineStr"/>
    </row>
    <row r="201" ht="72" customHeight="1">
      <c r="A201" s="5" t="inlineStr">
        <is>
          <t>TC-RPT-197</t>
        </is>
      </c>
      <c r="B201" s="5" t="inlineStr">
        <is>
          <t>vpip_rate</t>
        </is>
      </c>
      <c r="C201" s="5" t="inlineStr">
        <is>
          <t>主动参与率 VPIP</t>
        </is>
      </c>
      <c r="D201" s="13" t="inlineStr">
        <is>
          <t>P1</t>
        </is>
      </c>
      <c r="E201" s="7" t="inlineStr">
        <is>
          <t>场景设计法</t>
        </is>
      </c>
      <c r="F201" s="7" t="inlineStr">
        <is>
          <t>打法画像</t>
        </is>
      </c>
      <c r="G201" s="7" t="inlineStr">
        <is>
          <t>内部</t>
        </is>
      </c>
      <c r="H201" s="8" t="inlineStr">
        <is>
          <t>Hero 自愿参与底池比例</t>
        </is>
      </c>
      <c r="I201" s="8" t="inlineStr">
        <is>
          <t>自愿入池手数 / 总手数；盲注自动投入不算自愿入池</t>
        </is>
      </c>
      <c r="J201" s="8" t="inlineStr">
        <is>
          <t>主动参与率反例-WePoker托管大盲小盲平跟系统代弃牌</t>
        </is>
      </c>
      <c r="K201" s="12" t="inlineStr">
        <is>
          <t>反例</t>
        </is>
      </c>
      <c r="L201" s="8" t="inlineStr">
        <is>
          <t>1、已登录，当前用户是 Hero。
2、素材含一手（WePoker）：Hero处于托管，坐大盲小盲已平跟无人再加，系统代其翻前弃牌。参与手数含它，主动参与率分子不含，主动参与率=a/b</t>
        </is>
      </c>
      <c r="M201" s="8" t="inlineStr">
        <is>
          <t>1、上传素材，生成复盘报告，等到能打开。
2、打开「主动参与率 VPIP」，检查是否为a/b。</t>
        </is>
      </c>
      <c r="N201" s="8" t="inlineStr">
        <is>
          <t>主动参与率 VPIP=a/b</t>
        </is>
      </c>
      <c r="O201" s="8" t="inlineStr">
        <is>
          <t>style_profile_stats.vpip_rate</t>
        </is>
      </c>
      <c r="P201" s="10" t="inlineStr">
        <is>
          <t>未执行</t>
        </is>
      </c>
      <c r="Q201" s="10" t="inlineStr"/>
      <c r="R201" s="11" t="inlineStr"/>
    </row>
    <row r="202" ht="72" customHeight="1">
      <c r="A202" s="5" t="inlineStr">
        <is>
          <t>TC-RPT-198</t>
        </is>
      </c>
      <c r="B202" s="5" t="inlineStr">
        <is>
          <t>vpip_rate</t>
        </is>
      </c>
      <c r="C202" s="5" t="inlineStr">
        <is>
          <t>主动参与率 VPIP</t>
        </is>
      </c>
      <c r="D202" s="13" t="inlineStr">
        <is>
          <t>P1</t>
        </is>
      </c>
      <c r="E202" s="7" t="inlineStr">
        <is>
          <t>场景设计法</t>
        </is>
      </c>
      <c r="F202" s="7" t="inlineStr">
        <is>
          <t>打法画像</t>
        </is>
      </c>
      <c r="G202" s="7" t="inlineStr">
        <is>
          <t>内部</t>
        </is>
      </c>
      <c r="H202" s="8" t="inlineStr">
        <is>
          <t>Hero 自愿参与底池比例</t>
        </is>
      </c>
      <c r="I202" s="8" t="inlineStr">
        <is>
          <t>自愿入池手数 / 总手数；盲注自动投入不算自愿入池</t>
        </is>
      </c>
      <c r="J202" s="8" t="inlineStr">
        <is>
          <t>主动参与率反例-Hero抢注位直接弃牌</t>
        </is>
      </c>
      <c r="K202" s="12" t="inlineStr">
        <is>
          <t>反例</t>
        </is>
      </c>
      <c r="L202" s="8" t="inlineStr">
        <is>
          <t>1、已登录，当前用户是 Hero。
2、素材含一手：Hero坐STRADDLE位，除已下抢注外翻前直接弃牌。总手数含它，主动参与率分子不含，主动参与率=a/b</t>
        </is>
      </c>
      <c r="M202" s="8" t="inlineStr">
        <is>
          <t>1、上传素材，生成复盘报告，等到能打开。
2、打开「主动参与率 VPIP」，检查是否为a/b。</t>
        </is>
      </c>
      <c r="N202" s="8" t="inlineStr">
        <is>
          <t>主动参与率 VPIP=a/b</t>
        </is>
      </c>
      <c r="O202" s="8" t="inlineStr">
        <is>
          <t>style_profile_stats.vpip_rate</t>
        </is>
      </c>
      <c r="P202" s="10" t="inlineStr">
        <is>
          <t>未执行</t>
        </is>
      </c>
      <c r="Q202" s="10" t="inlineStr"/>
      <c r="R202" s="11" t="inlineStr"/>
    </row>
    <row r="203" ht="72" customHeight="1">
      <c r="A203" s="5" t="inlineStr">
        <is>
          <t>TC-RPT-199</t>
        </is>
      </c>
      <c r="B203" s="5" t="inlineStr">
        <is>
          <t>vpip_rate</t>
        </is>
      </c>
      <c r="C203" s="5" t="inlineStr">
        <is>
          <t>主动参与率 VPIP</t>
        </is>
      </c>
      <c r="D203" s="13" t="inlineStr">
        <is>
          <t>P1</t>
        </is>
      </c>
      <c r="E203" s="7" t="inlineStr">
        <is>
          <t>场景设计法</t>
        </is>
      </c>
      <c r="F203" s="7" t="inlineStr">
        <is>
          <t>打法画像</t>
        </is>
      </c>
      <c r="G203" s="7" t="inlineStr">
        <is>
          <t>内部</t>
        </is>
      </c>
      <c r="H203" s="8" t="inlineStr">
        <is>
          <t>Hero 自愿参与底池比例</t>
        </is>
      </c>
      <c r="I203" s="8" t="inlineStr">
        <is>
          <t>自愿入池手数 / 总手数；盲注自动投入不算自愿入池</t>
        </is>
      </c>
      <c r="J203" s="8" t="inlineStr">
        <is>
          <t>主动参与率反例-Hero中途补盲后直接弃牌</t>
        </is>
      </c>
      <c r="K203" s="12" t="inlineStr">
        <is>
          <t>反例</t>
        </is>
      </c>
      <c r="L203" s="8" t="inlineStr">
        <is>
          <t>1、已登录，当前用户是 Hero。
2、素材含一手：Hero中途补盲后翻前直接弃牌。总手数含它，主动参与率分子不含，主动参与率=a/b</t>
        </is>
      </c>
      <c r="M203" s="8" t="inlineStr">
        <is>
          <t>1、上传素材，生成复盘报告，等到能打开。
2、打开「主动参与率 VPIP」，检查是否为a/b。</t>
        </is>
      </c>
      <c r="N203" s="8" t="inlineStr">
        <is>
          <t>主动参与率 VPIP=a/b</t>
        </is>
      </c>
      <c r="O203" s="8" t="inlineStr">
        <is>
          <t>style_profile_stats.vpip_rate</t>
        </is>
      </c>
      <c r="P203" s="10" t="inlineStr">
        <is>
          <t>未执行</t>
        </is>
      </c>
      <c r="Q203" s="10" t="inlineStr"/>
      <c r="R203" s="11" t="inlineStr"/>
    </row>
    <row r="204" ht="72" customHeight="1">
      <c r="A204" s="5" t="inlineStr">
        <is>
          <t>TC-RPT-200</t>
        </is>
      </c>
      <c r="B204" s="5" t="inlineStr">
        <is>
          <t>pfr_rate</t>
        </is>
      </c>
      <c r="C204" s="5" t="inlineStr">
        <is>
          <t>翻前加注率 PFR</t>
        </is>
      </c>
      <c r="D204" s="13" t="inlineStr">
        <is>
          <t>P1</t>
        </is>
      </c>
      <c r="E204" s="7" t="inlineStr">
        <is>
          <t>边界值分析法</t>
        </is>
      </c>
      <c r="F204" s="7" t="inlineStr">
        <is>
          <t>打法画像</t>
        </is>
      </c>
      <c r="G204" s="7" t="inlineStr">
        <is>
          <t>内部</t>
        </is>
      </c>
      <c r="H204" s="8" t="inlineStr">
        <is>
          <t>Hero 翻前主动加注比例</t>
        </is>
      </c>
      <c r="I204" s="8" t="inlineStr">
        <is>
          <t>open raise + 3-bet + 4-bet 次数 / 总手数</t>
        </is>
      </c>
      <c r="J204" s="8" t="inlineStr">
        <is>
          <t>翻前加注率 PFR反例-分母为0字段不出现</t>
        </is>
      </c>
      <c r="K204" s="12" t="inlineStr">
        <is>
          <t>反例</t>
        </is>
      </c>
      <c r="L204" s="8" t="inlineStr">
        <is>
          <t>1、已登录，当前用户是 Hero。
2、总手数为 0。「翻前加注率 PFR」应为空或不出现，不能写成 0% 或 100%。</t>
        </is>
      </c>
      <c r="M204" s="8" t="inlineStr">
        <is>
          <t>1、上传素材，生成复盘报告，等到能打开。
2、打开「翻前加注率 PFR」，检查是否为空或不出现。</t>
        </is>
      </c>
      <c r="N204" s="8" t="inlineStr">
        <is>
          <t>翻前加注率 PFR为空或不出现</t>
        </is>
      </c>
      <c r="O204" s="8" t="inlineStr">
        <is>
          <t>style_profile_stats.pfr_rate</t>
        </is>
      </c>
      <c r="P204" s="10" t="inlineStr">
        <is>
          <t>未执行</t>
        </is>
      </c>
      <c r="Q204" s="10" t="inlineStr"/>
      <c r="R204" s="11" t="inlineStr"/>
    </row>
    <row r="205" ht="72" customHeight="1">
      <c r="A205" s="5" t="inlineStr">
        <is>
          <t>TC-RPT-201</t>
        </is>
      </c>
      <c r="B205" s="5" t="inlineStr">
        <is>
          <t>pfr_rate</t>
        </is>
      </c>
      <c r="C205" s="5" t="inlineStr">
        <is>
          <t>翻前加注率 PFR</t>
        </is>
      </c>
      <c r="D205" s="13" t="inlineStr">
        <is>
          <t>P1</t>
        </is>
      </c>
      <c r="E205" s="7" t="inlineStr">
        <is>
          <t>边界值分析法</t>
        </is>
      </c>
      <c r="F205" s="7" t="inlineStr">
        <is>
          <t>打法画像</t>
        </is>
      </c>
      <c r="G205" s="7" t="inlineStr">
        <is>
          <t>内部</t>
        </is>
      </c>
      <c r="H205" s="8" t="inlineStr">
        <is>
          <t>Hero 翻前主动加注比例</t>
        </is>
      </c>
      <c r="I205" s="8" t="inlineStr">
        <is>
          <t>open raise + 3-bet + 4-bet 次数 / 总手数</t>
        </is>
      </c>
      <c r="J205" s="8" t="inlineStr">
        <is>
          <t>翻前加注率 PFR正例-单位与换算正确</t>
        </is>
      </c>
      <c r="K205" s="9" t="inlineStr">
        <is>
          <t>正例</t>
        </is>
      </c>
      <c r="L205" s="8" t="inlineStr">
        <is>
          <t>1、已登录，当前用户是 Hero。
2、各手筹码和大盲已记下，按该手换算后「翻前加注率 PFR」=n</t>
        </is>
      </c>
      <c r="M205" s="8" t="inlineStr">
        <is>
          <t>1、上传素材，生成复盘报告，等到能打开。
2、打开「翻前加注率 PFR」，检查是否为n。</t>
        </is>
      </c>
      <c r="N205" s="8" t="inlineStr">
        <is>
          <t>翻前加注率 PFR=n</t>
        </is>
      </c>
      <c r="O205" s="8" t="inlineStr">
        <is>
          <t>style_profile_stats.pfr_rate</t>
        </is>
      </c>
      <c r="P205" s="10" t="inlineStr">
        <is>
          <t>未执行</t>
        </is>
      </c>
      <c r="Q205" s="10" t="inlineStr"/>
      <c r="R205" s="11" t="inlineStr"/>
    </row>
    <row r="206" ht="72" customHeight="1">
      <c r="A206" s="5" t="inlineStr">
        <is>
          <t>TC-RPT-202</t>
        </is>
      </c>
      <c r="B206" s="5" t="inlineStr">
        <is>
          <t>pfr_rate</t>
        </is>
      </c>
      <c r="C206" s="5" t="inlineStr">
        <is>
          <t>翻前加注率 PFR</t>
        </is>
      </c>
      <c r="D206" s="13" t="inlineStr">
        <is>
          <t>P1</t>
        </is>
      </c>
      <c r="E206" s="7" t="inlineStr">
        <is>
          <t>场景设计法</t>
        </is>
      </c>
      <c r="F206" s="7" t="inlineStr">
        <is>
          <t>打法画像</t>
        </is>
      </c>
      <c r="G206" s="7" t="inlineStr">
        <is>
          <t>内部</t>
        </is>
      </c>
      <c r="H206" s="8" t="inlineStr">
        <is>
          <t>Hero 翻前主动加注比例</t>
        </is>
      </c>
      <c r="I206" s="8" t="inlineStr">
        <is>
          <t>open raise + 3-bet + 4-bet 次数 / 总手数</t>
        </is>
      </c>
      <c r="J206" s="8" t="inlineStr">
        <is>
          <t>翻前加注率正例-率先加注</t>
        </is>
      </c>
      <c r="K206" s="9" t="inlineStr">
        <is>
          <t>正例</t>
        </is>
      </c>
      <c r="L206" s="8" t="inlineStr">
        <is>
          <t>1、已登录，当前用户是 Hero。
2、素材里翻前率先加注 手数计入分子。翻前加注率分子=a，总手数=b，翻前加注率=a/b</t>
        </is>
      </c>
      <c r="M206" s="8" t="inlineStr">
        <is>
          <t>1、上传素材，生成复盘报告，等到能打开。
2、打开「翻前加注率 PFR」，检查是否为a/b。</t>
        </is>
      </c>
      <c r="N206" s="8" t="inlineStr">
        <is>
          <t>翻前加注率 PFR=a/b</t>
        </is>
      </c>
      <c r="O206" s="8" t="inlineStr">
        <is>
          <t>style_profile_stats.pfr_rate</t>
        </is>
      </c>
      <c r="P206" s="10" t="inlineStr">
        <is>
          <t>未执行</t>
        </is>
      </c>
      <c r="Q206" s="10" t="inlineStr"/>
      <c r="R206" s="11" t="inlineStr"/>
    </row>
    <row r="207" ht="72" customHeight="1">
      <c r="A207" s="5" t="inlineStr">
        <is>
          <t>TC-RPT-203</t>
        </is>
      </c>
      <c r="B207" s="5" t="inlineStr">
        <is>
          <t>pfr_rate</t>
        </is>
      </c>
      <c r="C207" s="5" t="inlineStr">
        <is>
          <t>翻前加注率 PFR</t>
        </is>
      </c>
      <c r="D207" s="13" t="inlineStr">
        <is>
          <t>P1</t>
        </is>
      </c>
      <c r="E207" s="7" t="inlineStr">
        <is>
          <t>场景设计法</t>
        </is>
      </c>
      <c r="F207" s="7" t="inlineStr">
        <is>
          <t>打法画像</t>
        </is>
      </c>
      <c r="G207" s="7" t="inlineStr">
        <is>
          <t>内部</t>
        </is>
      </c>
      <c r="H207" s="8" t="inlineStr">
        <is>
          <t>Hero 翻前主动加注比例</t>
        </is>
      </c>
      <c r="I207" s="8" t="inlineStr">
        <is>
          <t>open raise + 3-bet + 4-bet 次数 / 总手数</t>
        </is>
      </c>
      <c r="J207" s="8" t="inlineStr">
        <is>
          <t>翻前加注率正例-再加注</t>
        </is>
      </c>
      <c r="K207" s="9" t="inlineStr">
        <is>
          <t>正例</t>
        </is>
      </c>
      <c r="L207" s="8" t="inlineStr">
        <is>
          <t>1、已登录，当前用户是 Hero。
2、素材里面对加注 后 再加注 计入分子。翻前加注率分子=a，总手数=b，翻前加注率=a/b</t>
        </is>
      </c>
      <c r="M207" s="8" t="inlineStr">
        <is>
          <t>1、上传素材，生成复盘报告，等到能打开。
2、打开「翻前加注率 PFR」，检查是否为a/b。</t>
        </is>
      </c>
      <c r="N207" s="8" t="inlineStr">
        <is>
          <t>翻前加注率 PFR=a/b</t>
        </is>
      </c>
      <c r="O207" s="8" t="inlineStr">
        <is>
          <t>style_profile_stats.pfr_rate</t>
        </is>
      </c>
      <c r="P207" s="10" t="inlineStr">
        <is>
          <t>未执行</t>
        </is>
      </c>
      <c r="Q207" s="10" t="inlineStr"/>
      <c r="R207" s="11" t="inlineStr"/>
    </row>
    <row r="208" ht="72" customHeight="1">
      <c r="A208" s="5" t="inlineStr">
        <is>
          <t>TC-RPT-204</t>
        </is>
      </c>
      <c r="B208" s="5" t="inlineStr">
        <is>
          <t>pfr_rate</t>
        </is>
      </c>
      <c r="C208" s="5" t="inlineStr">
        <is>
          <t>翻前加注率 PFR</t>
        </is>
      </c>
      <c r="D208" s="13" t="inlineStr">
        <is>
          <t>P1</t>
        </is>
      </c>
      <c r="E208" s="7" t="inlineStr">
        <is>
          <t>场景设计法</t>
        </is>
      </c>
      <c r="F208" s="7" t="inlineStr">
        <is>
          <t>打法画像</t>
        </is>
      </c>
      <c r="G208" s="7" t="inlineStr">
        <is>
          <t>内部</t>
        </is>
      </c>
      <c r="H208" s="8" t="inlineStr">
        <is>
          <t>Hero 翻前主动加注比例</t>
        </is>
      </c>
      <c r="I208" s="8" t="inlineStr">
        <is>
          <t>open raise + 3-bet + 4-bet 次数 / 总手数</t>
        </is>
      </c>
      <c r="J208" s="8" t="inlineStr">
        <is>
          <t>翻前加注率正例-面对再加注后再加注</t>
        </is>
      </c>
      <c r="K208" s="9" t="inlineStr">
        <is>
          <t>正例</t>
        </is>
      </c>
      <c r="L208" s="8" t="inlineStr">
        <is>
          <t>1、已登录，当前用户是 Hero。
2、素材里面对再加注 后 面对再加注后再加注 计入分子。翻前加注率分子=a，总手数=b，翻前加注率=a/b</t>
        </is>
      </c>
      <c r="M208" s="8" t="inlineStr">
        <is>
          <t>1、上传素材，生成复盘报告，等到能打开。
2、打开「翻前加注率 PFR」，检查是否为a/b。</t>
        </is>
      </c>
      <c r="N208" s="8" t="inlineStr">
        <is>
          <t>翻前加注率 PFR=a/b</t>
        </is>
      </c>
      <c r="O208" s="8" t="inlineStr">
        <is>
          <t>style_profile_stats.pfr_rate</t>
        </is>
      </c>
      <c r="P208" s="10" t="inlineStr">
        <is>
          <t>未执行</t>
        </is>
      </c>
      <c r="Q208" s="10" t="inlineStr"/>
      <c r="R208" s="11" t="inlineStr"/>
    </row>
    <row r="209" ht="72" customHeight="1">
      <c r="A209" s="5" t="inlineStr">
        <is>
          <t>TC-RPT-205</t>
        </is>
      </c>
      <c r="B209" s="5" t="inlineStr">
        <is>
          <t>pfr_rate</t>
        </is>
      </c>
      <c r="C209" s="5" t="inlineStr">
        <is>
          <t>翻前加注率 PFR</t>
        </is>
      </c>
      <c r="D209" s="13" t="inlineStr">
        <is>
          <t>P1</t>
        </is>
      </c>
      <c r="E209" s="7" t="inlineStr">
        <is>
          <t>场景设计法</t>
        </is>
      </c>
      <c r="F209" s="7" t="inlineStr">
        <is>
          <t>打法画像</t>
        </is>
      </c>
      <c r="G209" s="7" t="inlineStr">
        <is>
          <t>内部</t>
        </is>
      </c>
      <c r="H209" s="8" t="inlineStr">
        <is>
          <t>Hero 翻前主动加注比例</t>
        </is>
      </c>
      <c r="I209" s="8" t="inlineStr">
        <is>
          <t>open raise + 3-bet + 4-bet 次数 / 总手数</t>
        </is>
      </c>
      <c r="J209" s="8" t="inlineStr">
        <is>
          <t>翻前加注率反例-平跟后别人加注再跟</t>
        </is>
      </c>
      <c r="K209" s="12" t="inlineStr">
        <is>
          <t>反例</t>
        </is>
      </c>
      <c r="L209" s="8" t="inlineStr">
        <is>
          <t>1、已登录，当前用户是 Hero。
2、素材含一手：前面无人加注时用户平跟，别人加注后用户再跟。翻前加注率分子不含它，翻前加注率=a/b</t>
        </is>
      </c>
      <c r="M209" s="8" t="inlineStr">
        <is>
          <t>1、上传素材，生成复盘报告，等到能打开。
2、打开「翻前加注率 PFR」，检查是否为a/b。</t>
        </is>
      </c>
      <c r="N209" s="8" t="inlineStr">
        <is>
          <t>翻前加注率 PFR=a/b</t>
        </is>
      </c>
      <c r="O209" s="8" t="inlineStr">
        <is>
          <t>style_profile_stats.pfr_rate</t>
        </is>
      </c>
      <c r="P209" s="10" t="inlineStr">
        <is>
          <t>未执行</t>
        </is>
      </c>
      <c r="Q209" s="10" t="inlineStr"/>
      <c r="R209" s="11" t="inlineStr"/>
    </row>
    <row r="210" ht="72" customHeight="1">
      <c r="A210" s="5" t="inlineStr">
        <is>
          <t>TC-RPT-206</t>
        </is>
      </c>
      <c r="B210" s="5" t="inlineStr">
        <is>
          <t>pfr_rate</t>
        </is>
      </c>
      <c r="C210" s="5" t="inlineStr">
        <is>
          <t>翻前加注率 PFR</t>
        </is>
      </c>
      <c r="D210" s="13" t="inlineStr">
        <is>
          <t>P1</t>
        </is>
      </c>
      <c r="E210" s="7" t="inlineStr">
        <is>
          <t>场景设计法</t>
        </is>
      </c>
      <c r="F210" s="7" t="inlineStr">
        <is>
          <t>打法画像</t>
        </is>
      </c>
      <c r="G210" s="7" t="inlineStr">
        <is>
          <t>内部</t>
        </is>
      </c>
      <c r="H210" s="8" t="inlineStr">
        <is>
          <t>Hero 翻前主动加注比例</t>
        </is>
      </c>
      <c r="I210" s="8" t="inlineStr">
        <is>
          <t>open raise + 3-bet + 4-bet 次数 / 总手数</t>
        </is>
      </c>
      <c r="J210" s="8" t="inlineStr">
        <is>
          <t>翻前加注率反例-面对加注只跟注</t>
        </is>
      </c>
      <c r="K210" s="12" t="inlineStr">
        <is>
          <t>反例</t>
        </is>
      </c>
      <c r="L210" s="8" t="inlineStr">
        <is>
          <t>1、已登录，当前用户是 Hero。
2、素材含一手：面对加注 只跟注。PFR 分子不含它，翻前加注率=a/b</t>
        </is>
      </c>
      <c r="M210" s="8" t="inlineStr">
        <is>
          <t>1、上传素材，生成复盘报告，等到能打开。
2、打开「翻前加注率 PFR」，检查是否为a/b。</t>
        </is>
      </c>
      <c r="N210" s="8" t="inlineStr">
        <is>
          <t>翻前加注率 PFR=a/b</t>
        </is>
      </c>
      <c r="O210" s="8" t="inlineStr">
        <is>
          <t>style_profile_stats.pfr_rate</t>
        </is>
      </c>
      <c r="P210" s="10" t="inlineStr">
        <is>
          <t>未执行</t>
        </is>
      </c>
      <c r="Q210" s="10" t="inlineStr"/>
      <c r="R210" s="11" t="inlineStr"/>
    </row>
    <row r="211" ht="72" customHeight="1">
      <c r="A211" s="5" t="inlineStr">
        <is>
          <t>TC-RPT-207</t>
        </is>
      </c>
      <c r="B211" s="5" t="inlineStr">
        <is>
          <t>limp_rate</t>
        </is>
      </c>
      <c r="C211" s="5" t="inlineStr">
        <is>
          <t>翻前平入率</t>
        </is>
      </c>
      <c r="D211" s="14" t="inlineStr">
        <is>
          <t>P2</t>
        </is>
      </c>
      <c r="E211" s="7" t="inlineStr">
        <is>
          <t>等价类划分法</t>
        </is>
      </c>
      <c r="F211" s="7" t="inlineStr">
        <is>
          <t>打法画像</t>
        </is>
      </c>
      <c r="G211" s="7" t="inlineStr">
        <is>
          <t>内部</t>
        </is>
      </c>
      <c r="H211" s="8" t="inlineStr">
        <is>
          <t>Hero 翻前 limp （call 盲注）倾向</t>
        </is>
      </c>
      <c r="I211" s="8" t="inlineStr">
        <is>
          <t>（call 盲注）limp 次数 / 可行动手数</t>
        </is>
      </c>
      <c r="J211" s="8" t="inlineStr">
        <is>
          <t>翻前平入率正例-前面无人加注时跟盲注除以可平跟手</t>
        </is>
      </c>
      <c r="K211" s="9" t="inlineStr">
        <is>
          <t>正例</t>
        </is>
      </c>
      <c r="L211" s="8" t="inlineStr">
        <is>
          <t>1、已登录，当前用户是 Hero。只用正例场。
2、素材里分子次数=a，分母次数=b，「翻前平入率」应对=a/b</t>
        </is>
      </c>
      <c r="M211" s="8" t="inlineStr">
        <is>
          <t>1、上传素材，生成复盘报告，等到能打开。
2、打开「翻前平入率」，检查是否为a/b。</t>
        </is>
      </c>
      <c r="N211" s="8" t="inlineStr">
        <is>
          <t>翻前平入率=a/b</t>
        </is>
      </c>
      <c r="O211" s="8" t="inlineStr">
        <is>
          <t>style_profile_stats.limp_rate</t>
        </is>
      </c>
      <c r="P211" s="10" t="inlineStr">
        <is>
          <t>未执行</t>
        </is>
      </c>
      <c r="Q211" s="10" t="inlineStr"/>
      <c r="R211" s="11" t="inlineStr"/>
    </row>
    <row r="212" ht="72" customHeight="1">
      <c r="A212" s="5" t="inlineStr">
        <is>
          <t>TC-RPT-208</t>
        </is>
      </c>
      <c r="B212" s="5" t="inlineStr">
        <is>
          <t>limp_rate</t>
        </is>
      </c>
      <c r="C212" s="5" t="inlineStr">
        <is>
          <t>翻前平入率</t>
        </is>
      </c>
      <c r="D212" s="14" t="inlineStr">
        <is>
          <t>P2</t>
        </is>
      </c>
      <c r="E212" s="7" t="inlineStr">
        <is>
          <t>等价类划分法</t>
        </is>
      </c>
      <c r="F212" s="7" t="inlineStr">
        <is>
          <t>打法画像</t>
        </is>
      </c>
      <c r="G212" s="7" t="inlineStr">
        <is>
          <t>内部</t>
        </is>
      </c>
      <c r="H212" s="8" t="inlineStr">
        <is>
          <t>Hero 翻前 limp （call 盲注）倾向</t>
        </is>
      </c>
      <c r="I212" s="8" t="inlineStr">
        <is>
          <t>（call 盲注）limp 次数 / 可行动手数</t>
        </is>
      </c>
      <c r="J212" s="8" t="inlineStr">
        <is>
          <t>翻前平入率反例-面对加注跟注误当平跟入池</t>
        </is>
      </c>
      <c r="K212" s="12" t="inlineStr">
        <is>
          <t>反例</t>
        </is>
      </c>
      <c r="L212" s="8" t="inlineStr">
        <is>
          <t>1、已登录，当前用户是 Hero。准备下列不该计入的素材。
2、Hero面对加注跟注。这是面对加注跟注不是平跟入池，「翻前平入率」仍=a/b</t>
        </is>
      </c>
      <c r="M212" s="8" t="inlineStr">
        <is>
          <t>1、上传素材，生成复盘报告，等到能打开。
2、打开「翻前平入率」，检查是否为a/b。</t>
        </is>
      </c>
      <c r="N212" s="8" t="inlineStr">
        <is>
          <t>翻前平入率=a/b</t>
        </is>
      </c>
      <c r="O212" s="8" t="inlineStr">
        <is>
          <t>style_profile_stats.limp_rate</t>
        </is>
      </c>
      <c r="P212" s="10" t="inlineStr">
        <is>
          <t>未执行</t>
        </is>
      </c>
      <c r="Q212" s="10" t="inlineStr"/>
      <c r="R212" s="11" t="inlineStr"/>
    </row>
    <row r="213" ht="72" customHeight="1">
      <c r="A213" s="5" t="inlineStr">
        <is>
          <t>TC-RPT-209</t>
        </is>
      </c>
      <c r="B213" s="5" t="inlineStr">
        <is>
          <t>limp_rate</t>
        </is>
      </c>
      <c r="C213" s="5" t="inlineStr">
        <is>
          <t>翻前平入率</t>
        </is>
      </c>
      <c r="D213" s="14" t="inlineStr">
        <is>
          <t>P2</t>
        </is>
      </c>
      <c r="E213" s="7" t="inlineStr">
        <is>
          <t>因果图法</t>
        </is>
      </c>
      <c r="F213" s="7" t="inlineStr">
        <is>
          <t>打法画像</t>
        </is>
      </c>
      <c r="G213" s="7" t="inlineStr">
        <is>
          <t>内部</t>
        </is>
      </c>
      <c r="H213" s="8" t="inlineStr">
        <is>
          <t>Hero 翻前 limp （call 盲注）倾向</t>
        </is>
      </c>
      <c r="I213" s="8" t="inlineStr">
        <is>
          <t>（call 盲注）limp 次数 / 可行动手数</t>
        </is>
      </c>
      <c r="J213" s="8" t="inlineStr">
        <is>
          <t>翻前平入率正例-前面无人加注时加注或弃牌</t>
        </is>
      </c>
      <c r="K213" s="9" t="inlineStr">
        <is>
          <t>正例</t>
        </is>
      </c>
      <c r="L213" s="8" t="inlineStr">
        <is>
          <t>1、已登录，当前用户是 Hero。
2、前面无人加注轮到Hero：Hero加注或弃牌。这手分母加1，分子不加
3、手算分子=a、分母=b，「翻前平入率」应为=a/b</t>
        </is>
      </c>
      <c r="M213" s="8" t="inlineStr">
        <is>
          <t>1、上传素材，生成复盘报告，等到能打开。
2、打开「翻前平入率」，检查是否为a/b。</t>
        </is>
      </c>
      <c r="N213" s="8" t="inlineStr">
        <is>
          <t>翻前平入率=a/b</t>
        </is>
      </c>
      <c r="O213" s="8" t="inlineStr">
        <is>
          <t>style_profile_stats.limp_rate</t>
        </is>
      </c>
      <c r="P213" s="10" t="inlineStr">
        <is>
          <t>未执行</t>
        </is>
      </c>
      <c r="Q213" s="10" t="inlineStr"/>
      <c r="R213" s="11" t="inlineStr"/>
    </row>
    <row r="214" ht="72" customHeight="1">
      <c r="A214" s="5" t="inlineStr">
        <is>
          <t>TC-RPT-210</t>
        </is>
      </c>
      <c r="B214" s="5" t="inlineStr">
        <is>
          <t>limp_rate</t>
        </is>
      </c>
      <c r="C214" s="5" t="inlineStr">
        <is>
          <t>翻前平入率</t>
        </is>
      </c>
      <c r="D214" s="14" t="inlineStr">
        <is>
          <t>P2</t>
        </is>
      </c>
      <c r="E214" s="7" t="inlineStr">
        <is>
          <t>边界值分析法</t>
        </is>
      </c>
      <c r="F214" s="7" t="inlineStr">
        <is>
          <t>打法画像</t>
        </is>
      </c>
      <c r="G214" s="7" t="inlineStr">
        <is>
          <t>内部</t>
        </is>
      </c>
      <c r="H214" s="8" t="inlineStr">
        <is>
          <t>Hero 翻前 limp （call 盲注）倾向</t>
        </is>
      </c>
      <c r="I214" s="8" t="inlineStr">
        <is>
          <t>（call 盲注）limp 次数 / 可行动手数</t>
        </is>
      </c>
      <c r="J214" s="8" t="inlineStr">
        <is>
          <t>翻前平入率反例-分母为0字段不出现</t>
        </is>
      </c>
      <c r="K214" s="12" t="inlineStr">
        <is>
          <t>反例</t>
        </is>
      </c>
      <c r="L214" s="8" t="inlineStr">
        <is>
          <t>1、已登录，当前用户是 Hero。
2、整场 Hero 从未遇到「可 limp」的局面（例如全是面对加注）。「翻前平入率」应为空或不出现，不能写成 0% 或 100%。</t>
        </is>
      </c>
      <c r="M214" s="8" t="inlineStr">
        <is>
          <t>1、上传素材，生成复盘报告，等到能打开。
2、打开「翻前平入率」，检查是否为空或不出现。</t>
        </is>
      </c>
      <c r="N214" s="8" t="inlineStr">
        <is>
          <t>翻前平入率为空或不出现</t>
        </is>
      </c>
      <c r="O214" s="8" t="inlineStr">
        <is>
          <t>style_profile_stats.limp_rate</t>
        </is>
      </c>
      <c r="P214" s="10" t="inlineStr">
        <is>
          <t>未执行</t>
        </is>
      </c>
      <c r="Q214" s="10" t="inlineStr"/>
      <c r="R214" s="11" t="inlineStr"/>
    </row>
    <row r="215" ht="72" customHeight="1">
      <c r="A215" s="5" t="inlineStr">
        <is>
          <t>TC-RPT-211</t>
        </is>
      </c>
      <c r="B215" s="5" t="inlineStr">
        <is>
          <t>limp_rate</t>
        </is>
      </c>
      <c r="C215" s="5" t="inlineStr">
        <is>
          <t>翻前平入率</t>
        </is>
      </c>
      <c r="D215" s="14" t="inlineStr">
        <is>
          <t>P2</t>
        </is>
      </c>
      <c r="E215" s="7" t="inlineStr">
        <is>
          <t>边界值分析法</t>
        </is>
      </c>
      <c r="F215" s="7" t="inlineStr">
        <is>
          <t>打法画像</t>
        </is>
      </c>
      <c r="G215" s="7" t="inlineStr">
        <is>
          <t>内部</t>
        </is>
      </c>
      <c r="H215" s="8" t="inlineStr">
        <is>
          <t>Hero 翻前 limp （call 盲注）倾向</t>
        </is>
      </c>
      <c r="I215" s="8" t="inlineStr">
        <is>
          <t>（call 盲注）limp 次数 / 可行动手数</t>
        </is>
      </c>
      <c r="J215" s="8" t="inlineStr">
        <is>
          <t>翻前平入率正例-单位与换算正确</t>
        </is>
      </c>
      <c r="K215" s="9" t="inlineStr">
        <is>
          <t>正例</t>
        </is>
      </c>
      <c r="L215" s="8" t="inlineStr">
        <is>
          <t>1、已登录，当前用户是 Hero。
2、各手筹码和大盲已记下，按该手换算后「翻前平入率」=n</t>
        </is>
      </c>
      <c r="M215" s="8" t="inlineStr">
        <is>
          <t>1、上传素材，生成复盘报告，等到能打开。
2、打开「翻前平入率」，检查是否为n。</t>
        </is>
      </c>
      <c r="N215" s="8" t="inlineStr">
        <is>
          <t>翻前平入率=n</t>
        </is>
      </c>
      <c r="O215" s="8" t="inlineStr">
        <is>
          <t>style_profile_stats.limp_rate</t>
        </is>
      </c>
      <c r="P215" s="10" t="inlineStr">
        <is>
          <t>未执行</t>
        </is>
      </c>
      <c r="Q215" s="10" t="inlineStr"/>
      <c r="R215" s="11" t="inlineStr"/>
    </row>
    <row r="216" ht="72" customHeight="1">
      <c r="A216" s="5" t="inlineStr">
        <is>
          <t>TC-RPT-212</t>
        </is>
      </c>
      <c r="B216" s="5" t="inlineStr">
        <is>
          <t>call_open_rate</t>
        </is>
      </c>
      <c r="C216" s="5" t="inlineStr">
        <is>
          <t>面对 open raise 跟注率</t>
        </is>
      </c>
      <c r="D216" s="13" t="inlineStr">
        <is>
          <t>P1</t>
        </is>
      </c>
      <c r="E216" s="7" t="inlineStr">
        <is>
          <t>等价类划分法</t>
        </is>
      </c>
      <c r="F216" s="7" t="inlineStr">
        <is>
          <t>打法画像</t>
        </is>
      </c>
      <c r="G216" s="7" t="inlineStr">
        <is>
          <t>内部</t>
        </is>
      </c>
      <c r="H216" s="8" t="inlineStr">
        <is>
          <t>Hero 面对加注后的平跟倾向</t>
        </is>
      </c>
      <c r="I216" s="8" t="inlineStr">
        <is>
          <t>面对 open raise 选择 call 次数 / 面对 open raise 次数</t>
        </is>
      </c>
      <c r="J216" s="8" t="inlineStr">
        <is>
          <t>面对 open raise 跟注率正例-面对加注跟注除以面对加注次数</t>
        </is>
      </c>
      <c r="K216" s="9" t="inlineStr">
        <is>
          <t>正例</t>
        </is>
      </c>
      <c r="L216" s="8" t="inlineStr">
        <is>
          <t>1、已登录，当前用户是 Hero。只用正例场。
2、素材里分子次数=a，分母次数=b，「面对 open raise 跟注率」应对=a/b</t>
        </is>
      </c>
      <c r="M216" s="8" t="inlineStr">
        <is>
          <t>1、上传素材，生成复盘报告，等到能打开。
2、打开「面对 open raise 跟注率」，检查是否为a/b。</t>
        </is>
      </c>
      <c r="N216" s="8" t="inlineStr">
        <is>
          <t>面对 open raise 跟注率=a/b</t>
        </is>
      </c>
      <c r="O216" s="8" t="inlineStr">
        <is>
          <t>style_profile_stats.call_open_rate</t>
        </is>
      </c>
      <c r="P216" s="10" t="inlineStr">
        <is>
          <t>未执行</t>
        </is>
      </c>
      <c r="Q216" s="10" t="inlineStr"/>
      <c r="R216" s="11" t="inlineStr"/>
    </row>
    <row r="217" ht="72" customHeight="1">
      <c r="A217" s="5" t="inlineStr">
        <is>
          <t>TC-RPT-213</t>
        </is>
      </c>
      <c r="B217" s="5" t="inlineStr">
        <is>
          <t>call_open_rate</t>
        </is>
      </c>
      <c r="C217" s="5" t="inlineStr">
        <is>
          <t>面对 open raise 跟注率</t>
        </is>
      </c>
      <c r="D217" s="13" t="inlineStr">
        <is>
          <t>P1</t>
        </is>
      </c>
      <c r="E217" s="7" t="inlineStr">
        <is>
          <t>等价类划分法</t>
        </is>
      </c>
      <c r="F217" s="7" t="inlineStr">
        <is>
          <t>打法画像</t>
        </is>
      </c>
      <c r="G217" s="7" t="inlineStr">
        <is>
          <t>内部</t>
        </is>
      </c>
      <c r="H217" s="8" t="inlineStr">
        <is>
          <t>Hero 面对加注后的平跟倾向</t>
        </is>
      </c>
      <c r="I217" s="8" t="inlineStr">
        <is>
          <t>面对 open raise 选择 call 次数 / 面对 open raise 次数</t>
        </is>
      </c>
      <c r="J217" s="8" t="inlineStr">
        <is>
          <t>面对 open raise 跟注率反例-自己率先加注</t>
        </is>
      </c>
      <c r="K217" s="12" t="inlineStr">
        <is>
          <t>反例</t>
        </is>
      </c>
      <c r="L217" s="8" t="inlineStr">
        <is>
          <t>1、已登录，当前用户是 Hero。准备下列不该计入的素材。
2、Hero自己率先加注。不应进面对加注跟注分子，「面对 open raise 跟注率」仍=a/b</t>
        </is>
      </c>
      <c r="M217" s="8" t="inlineStr">
        <is>
          <t>1、上传素材，生成复盘报告，等到能打开。
2、打开「面对 open raise 跟注率」，检查是否为a/b。</t>
        </is>
      </c>
      <c r="N217" s="8" t="inlineStr">
        <is>
          <t>面对 open raise 跟注率=a/b</t>
        </is>
      </c>
      <c r="O217" s="8" t="inlineStr">
        <is>
          <t>style_profile_stats.call_open_rate</t>
        </is>
      </c>
      <c r="P217" s="10" t="inlineStr">
        <is>
          <t>未执行</t>
        </is>
      </c>
      <c r="Q217" s="10" t="inlineStr"/>
      <c r="R217" s="11" t="inlineStr"/>
    </row>
    <row r="218" ht="72" customHeight="1">
      <c r="A218" s="5" t="inlineStr">
        <is>
          <t>TC-RPT-214</t>
        </is>
      </c>
      <c r="B218" s="5" t="inlineStr">
        <is>
          <t>call_open_rate</t>
        </is>
      </c>
      <c r="C218" s="5" t="inlineStr">
        <is>
          <t>面对 open raise 跟注率</t>
        </is>
      </c>
      <c r="D218" s="13" t="inlineStr">
        <is>
          <t>P1</t>
        </is>
      </c>
      <c r="E218" s="7" t="inlineStr">
        <is>
          <t>因果图法</t>
        </is>
      </c>
      <c r="F218" s="7" t="inlineStr">
        <is>
          <t>打法画像</t>
        </is>
      </c>
      <c r="G218" s="7" t="inlineStr">
        <is>
          <t>内部</t>
        </is>
      </c>
      <c r="H218" s="8" t="inlineStr">
        <is>
          <t>Hero 面对加注后的平跟倾向</t>
        </is>
      </c>
      <c r="I218" s="8" t="inlineStr">
        <is>
          <t>面对 open raise 选择 call 次数 / 面对 open raise 次数</t>
        </is>
      </c>
      <c r="J218" s="8" t="inlineStr">
        <is>
          <t>面对 open raise 跟注率正例-面对加注弃牌或再加注</t>
        </is>
      </c>
      <c r="K218" s="9" t="inlineStr">
        <is>
          <t>正例</t>
        </is>
      </c>
      <c r="L218" s="8" t="inlineStr">
        <is>
          <t>1、已登录，当前用户是 Hero。
2、面对加注，Hero弃牌或再加注。这手分母加1，分子不加
3、手算分子=a、分母=b，「面对 open raise 跟注率」应为=a/b</t>
        </is>
      </c>
      <c r="M218" s="8" t="inlineStr">
        <is>
          <t>1、上传素材，生成复盘报告，等到能打开。
2、打开「面对 open raise 跟注率」，检查是否为a/b。</t>
        </is>
      </c>
      <c r="N218" s="8" t="inlineStr">
        <is>
          <t>面对 open raise 跟注率=a/b</t>
        </is>
      </c>
      <c r="O218" s="8" t="inlineStr">
        <is>
          <t>style_profile_stats.call_open_rate</t>
        </is>
      </c>
      <c r="P218" s="10" t="inlineStr">
        <is>
          <t>未执行</t>
        </is>
      </c>
      <c r="Q218" s="10" t="inlineStr"/>
      <c r="R218" s="11" t="inlineStr"/>
    </row>
    <row r="219" ht="72" customHeight="1">
      <c r="A219" s="5" t="inlineStr">
        <is>
          <t>TC-RPT-215</t>
        </is>
      </c>
      <c r="B219" s="5" t="inlineStr">
        <is>
          <t>call_open_rate</t>
        </is>
      </c>
      <c r="C219" s="5" t="inlineStr">
        <is>
          <t>面对 open raise 跟注率</t>
        </is>
      </c>
      <c r="D219" s="13" t="inlineStr">
        <is>
          <t>P1</t>
        </is>
      </c>
      <c r="E219" s="7" t="inlineStr">
        <is>
          <t>边界值分析法</t>
        </is>
      </c>
      <c r="F219" s="7" t="inlineStr">
        <is>
          <t>打法画像</t>
        </is>
      </c>
      <c r="G219" s="7" t="inlineStr">
        <is>
          <t>内部</t>
        </is>
      </c>
      <c r="H219" s="8" t="inlineStr">
        <is>
          <t>Hero 面对加注后的平跟倾向</t>
        </is>
      </c>
      <c r="I219" s="8" t="inlineStr">
        <is>
          <t>面对 open raise 选择 call 次数 / 面对 open raise 次数</t>
        </is>
      </c>
      <c r="J219" s="8" t="inlineStr">
        <is>
          <t>面对 open raise 跟注率反例-分母为0字段不出现</t>
        </is>
      </c>
      <c r="K219" s="12" t="inlineStr">
        <is>
          <t>反例</t>
        </is>
      </c>
      <c r="L219" s="8" t="inlineStr">
        <is>
          <t>1、已登录，当前用户是 Hero。
2、整场没有人 open 到 Hero。「面对 open raise 跟注率」应为空或不出现，不能写成 0% 或 100%。</t>
        </is>
      </c>
      <c r="M219" s="8" t="inlineStr">
        <is>
          <t>1、上传素材，生成复盘报告，等到能打开。
2、打开「面对 open raise 跟注率」，检查是否为空或不出现。</t>
        </is>
      </c>
      <c r="N219" s="8" t="inlineStr">
        <is>
          <t>面对 open raise 跟注率为空或不出现</t>
        </is>
      </c>
      <c r="O219" s="8" t="inlineStr">
        <is>
          <t>style_profile_stats.call_open_rate</t>
        </is>
      </c>
      <c r="P219" s="10" t="inlineStr">
        <is>
          <t>未执行</t>
        </is>
      </c>
      <c r="Q219" s="10" t="inlineStr"/>
      <c r="R219" s="11" t="inlineStr"/>
    </row>
    <row r="220" ht="72" customHeight="1">
      <c r="A220" s="5" t="inlineStr">
        <is>
          <t>TC-RPT-216</t>
        </is>
      </c>
      <c r="B220" s="5" t="inlineStr">
        <is>
          <t>call_open_rate</t>
        </is>
      </c>
      <c r="C220" s="5" t="inlineStr">
        <is>
          <t>面对 open raise 跟注率</t>
        </is>
      </c>
      <c r="D220" s="13" t="inlineStr">
        <is>
          <t>P1</t>
        </is>
      </c>
      <c r="E220" s="7" t="inlineStr">
        <is>
          <t>边界值分析法</t>
        </is>
      </c>
      <c r="F220" s="7" t="inlineStr">
        <is>
          <t>打法画像</t>
        </is>
      </c>
      <c r="G220" s="7" t="inlineStr">
        <is>
          <t>内部</t>
        </is>
      </c>
      <c r="H220" s="8" t="inlineStr">
        <is>
          <t>Hero 面对加注后的平跟倾向</t>
        </is>
      </c>
      <c r="I220" s="8" t="inlineStr">
        <is>
          <t>面对 open raise 选择 call 次数 / 面对 open raise 次数</t>
        </is>
      </c>
      <c r="J220" s="8" t="inlineStr">
        <is>
          <t>面对 open raise 跟注率正例-单位与换算正确</t>
        </is>
      </c>
      <c r="K220" s="9" t="inlineStr">
        <is>
          <t>正例</t>
        </is>
      </c>
      <c r="L220" s="8" t="inlineStr">
        <is>
          <t>1、已登录，当前用户是 Hero。
2、各手筹码和大盲已记下，按该手换算后「面对 open raise 跟注率」=n</t>
        </is>
      </c>
      <c r="M220" s="8" t="inlineStr">
        <is>
          <t>1、上传素材，生成复盘报告，等到能打开。
2、打开「面对 open raise 跟注率」，检查是否为n。</t>
        </is>
      </c>
      <c r="N220" s="8" t="inlineStr">
        <is>
          <t>面对 open raise 跟注率=n</t>
        </is>
      </c>
      <c r="O220" s="8" t="inlineStr">
        <is>
          <t>style_profile_stats.call_open_rate</t>
        </is>
      </c>
      <c r="P220" s="10" t="inlineStr">
        <is>
          <t>未执行</t>
        </is>
      </c>
      <c r="Q220" s="10" t="inlineStr"/>
      <c r="R220" s="11" t="inlineStr"/>
    </row>
    <row r="221" ht="72" customHeight="1">
      <c r="A221" s="5" t="inlineStr">
        <is>
          <t>TC-RPT-217</t>
        </is>
      </c>
      <c r="B221" s="5" t="inlineStr">
        <is>
          <t>three_bet_rate</t>
        </is>
      </c>
      <c r="C221" s="5" t="inlineStr">
        <is>
          <t>3-Bet 频率</t>
        </is>
      </c>
      <c r="D221" s="13" t="inlineStr">
        <is>
          <t>P1</t>
        </is>
      </c>
      <c r="E221" s="7" t="inlineStr">
        <is>
          <t>等价类划分法</t>
        </is>
      </c>
      <c r="F221" s="7" t="inlineStr">
        <is>
          <t>打法画像</t>
        </is>
      </c>
      <c r="G221" s="7" t="inlineStr">
        <is>
          <t>内部</t>
        </is>
      </c>
      <c r="H221" s="8" t="inlineStr">
        <is>
          <t>Hero 翻前反加频率</t>
        </is>
      </c>
      <c r="I221" s="8" t="inlineStr">
        <is>
          <t>3-Bet 次数 / 面对 open raise 机会次数</t>
        </is>
      </c>
      <c r="J221" s="8" t="inlineStr">
        <is>
          <t>3-Bet 频率正例-面对加注后再加注除以面对加注次数</t>
        </is>
      </c>
      <c r="K221" s="9" t="inlineStr">
        <is>
          <t>正例</t>
        </is>
      </c>
      <c r="L221" s="8" t="inlineStr">
        <is>
          <t>1、已登录，当前用户是 Hero。只用正例场。
2、素材里分子次数=a，分母次数=b，「3-Bet 频率」应对=a/b</t>
        </is>
      </c>
      <c r="M221" s="8" t="inlineStr">
        <is>
          <t>1、上传素材，生成复盘报告，等到能打开。
2、打开「3-Bet 频率」，检查是否为a/b。</t>
        </is>
      </c>
      <c r="N221" s="8" t="inlineStr">
        <is>
          <t>3-Bet 频率=a/b</t>
        </is>
      </c>
      <c r="O221" s="8" t="inlineStr">
        <is>
          <t>style_profile_stats.three_bet_rate</t>
        </is>
      </c>
      <c r="P221" s="10" t="inlineStr">
        <is>
          <t>未执行</t>
        </is>
      </c>
      <c r="Q221" s="10" t="inlineStr"/>
      <c r="R221" s="11" t="inlineStr"/>
    </row>
    <row r="222" ht="72" customHeight="1">
      <c r="A222" s="5" t="inlineStr">
        <is>
          <t>TC-RPT-218</t>
        </is>
      </c>
      <c r="B222" s="5" t="inlineStr">
        <is>
          <t>three_bet_rate</t>
        </is>
      </c>
      <c r="C222" s="5" t="inlineStr">
        <is>
          <t>3-Bet 频率</t>
        </is>
      </c>
      <c r="D222" s="13" t="inlineStr">
        <is>
          <t>P1</t>
        </is>
      </c>
      <c r="E222" s="7" t="inlineStr">
        <is>
          <t>等价类划分法</t>
        </is>
      </c>
      <c r="F222" s="7" t="inlineStr">
        <is>
          <t>打法画像</t>
        </is>
      </c>
      <c r="G222" s="7" t="inlineStr">
        <is>
          <t>内部</t>
        </is>
      </c>
      <c r="H222" s="8" t="inlineStr">
        <is>
          <t>Hero 翻前反加频率</t>
        </is>
      </c>
      <c r="I222" s="8" t="inlineStr">
        <is>
          <t>3-Bet 次数 / 面对 open raise 机会次数</t>
        </is>
      </c>
      <c r="J222" s="8" t="inlineStr">
        <is>
          <t>3-Bet 频率反例-自己率先加注</t>
        </is>
      </c>
      <c r="K222" s="12" t="inlineStr">
        <is>
          <t>反例</t>
        </is>
      </c>
      <c r="L222" s="8" t="inlineStr">
        <is>
          <t>1、已登录，当前用户是 Hero。准备下列不该计入的素材。
2、Hero自己率先加注。不应进再加注分子，「3-Bet 频率」仍=a/b</t>
        </is>
      </c>
      <c r="M222" s="8" t="inlineStr">
        <is>
          <t>1、上传素材，生成复盘报告，等到能打开。
2、打开「3-Bet 频率」，检查是否为a/b。</t>
        </is>
      </c>
      <c r="N222" s="8" t="inlineStr">
        <is>
          <t>3-Bet 频率=a/b</t>
        </is>
      </c>
      <c r="O222" s="8" t="inlineStr">
        <is>
          <t>style_profile_stats.three_bet_rate</t>
        </is>
      </c>
      <c r="P222" s="10" t="inlineStr">
        <is>
          <t>未执行</t>
        </is>
      </c>
      <c r="Q222" s="10" t="inlineStr"/>
      <c r="R222" s="11" t="inlineStr"/>
    </row>
    <row r="223" ht="72" customHeight="1">
      <c r="A223" s="5" t="inlineStr">
        <is>
          <t>TC-RPT-219</t>
        </is>
      </c>
      <c r="B223" s="5" t="inlineStr">
        <is>
          <t>three_bet_rate</t>
        </is>
      </c>
      <c r="C223" s="5" t="inlineStr">
        <is>
          <t>3-Bet 频率</t>
        </is>
      </c>
      <c r="D223" s="13" t="inlineStr">
        <is>
          <t>P1</t>
        </is>
      </c>
      <c r="E223" s="7" t="inlineStr">
        <is>
          <t>因果图法</t>
        </is>
      </c>
      <c r="F223" s="7" t="inlineStr">
        <is>
          <t>打法画像</t>
        </is>
      </c>
      <c r="G223" s="7" t="inlineStr">
        <is>
          <t>内部</t>
        </is>
      </c>
      <c r="H223" s="8" t="inlineStr">
        <is>
          <t>Hero 翻前反加频率</t>
        </is>
      </c>
      <c r="I223" s="8" t="inlineStr">
        <is>
          <t>3-Bet 次数 / 面对 open raise 机会次数</t>
        </is>
      </c>
      <c r="J223" s="8" t="inlineStr">
        <is>
          <t>3-Bet 频率正例-面对加注跟注或弃牌</t>
        </is>
      </c>
      <c r="K223" s="9" t="inlineStr">
        <is>
          <t>正例</t>
        </is>
      </c>
      <c r="L223" s="8" t="inlineStr">
        <is>
          <t>1、已登录，当前用户是 Hero。
2、面对加注，Hero跟注或弃牌。这手分母加1，分子不加
3、手算分子=a、分母=b，「3-Bet 频率」应为=a/b</t>
        </is>
      </c>
      <c r="M223" s="8" t="inlineStr">
        <is>
          <t>1、上传素材，生成复盘报告，等到能打开。
2、打开「3-Bet 频率」，检查是否为a/b。</t>
        </is>
      </c>
      <c r="N223" s="8" t="inlineStr">
        <is>
          <t>3-Bet 频率=a/b</t>
        </is>
      </c>
      <c r="O223" s="8" t="inlineStr">
        <is>
          <t>style_profile_stats.three_bet_rate</t>
        </is>
      </c>
      <c r="P223" s="10" t="inlineStr">
        <is>
          <t>未执行</t>
        </is>
      </c>
      <c r="Q223" s="10" t="inlineStr"/>
      <c r="R223" s="11" t="inlineStr"/>
    </row>
    <row r="224" ht="72" customHeight="1">
      <c r="A224" s="5" t="inlineStr">
        <is>
          <t>TC-RPT-220</t>
        </is>
      </c>
      <c r="B224" s="5" t="inlineStr">
        <is>
          <t>three_bet_rate</t>
        </is>
      </c>
      <c r="C224" s="5" t="inlineStr">
        <is>
          <t>3-Bet 频率</t>
        </is>
      </c>
      <c r="D224" s="13" t="inlineStr">
        <is>
          <t>P1</t>
        </is>
      </c>
      <c r="E224" s="7" t="inlineStr">
        <is>
          <t>边界值分析法</t>
        </is>
      </c>
      <c r="F224" s="7" t="inlineStr">
        <is>
          <t>打法画像</t>
        </is>
      </c>
      <c r="G224" s="7" t="inlineStr">
        <is>
          <t>内部</t>
        </is>
      </c>
      <c r="H224" s="8" t="inlineStr">
        <is>
          <t>Hero 翻前反加频率</t>
        </is>
      </c>
      <c r="I224" s="8" t="inlineStr">
        <is>
          <t>3-Bet 次数 / 面对 open raise 机会次数</t>
        </is>
      </c>
      <c r="J224" s="8" t="inlineStr">
        <is>
          <t>3-Bet 频率反例-分母为0字段不出现</t>
        </is>
      </c>
      <c r="K224" s="12" t="inlineStr">
        <is>
          <t>反例</t>
        </is>
      </c>
      <c r="L224" s="8" t="inlineStr">
        <is>
          <t>1、已登录，当前用户是 Hero。
2、整场没有人 open 到用户。「3-Bet 频率」应为空或不出现，不能写成 0% 或 100%。</t>
        </is>
      </c>
      <c r="M224" s="8" t="inlineStr">
        <is>
          <t>1、上传素材，生成复盘报告，等到能打开。
2、打开「3-Bet 频率」，检查是否为空或不出现。</t>
        </is>
      </c>
      <c r="N224" s="8" t="inlineStr">
        <is>
          <t>3-Bet 频率为空或不出现</t>
        </is>
      </c>
      <c r="O224" s="8" t="inlineStr">
        <is>
          <t>style_profile_stats.three_bet_rate</t>
        </is>
      </c>
      <c r="P224" s="10" t="inlineStr">
        <is>
          <t>未执行</t>
        </is>
      </c>
      <c r="Q224" s="10" t="inlineStr"/>
      <c r="R224" s="11" t="inlineStr"/>
    </row>
    <row r="225" ht="72" customHeight="1">
      <c r="A225" s="5" t="inlineStr">
        <is>
          <t>TC-RPT-221</t>
        </is>
      </c>
      <c r="B225" s="5" t="inlineStr">
        <is>
          <t>three_bet_rate</t>
        </is>
      </c>
      <c r="C225" s="5" t="inlineStr">
        <is>
          <t>3-Bet 频率</t>
        </is>
      </c>
      <c r="D225" s="13" t="inlineStr">
        <is>
          <t>P1</t>
        </is>
      </c>
      <c r="E225" s="7" t="inlineStr">
        <is>
          <t>边界值分析法</t>
        </is>
      </c>
      <c r="F225" s="7" t="inlineStr">
        <is>
          <t>打法画像</t>
        </is>
      </c>
      <c r="G225" s="7" t="inlineStr">
        <is>
          <t>内部</t>
        </is>
      </c>
      <c r="H225" s="8" t="inlineStr">
        <is>
          <t>Hero 翻前反加频率</t>
        </is>
      </c>
      <c r="I225" s="8" t="inlineStr">
        <is>
          <t>3-Bet 次数 / 面对 open raise 机会次数</t>
        </is>
      </c>
      <c r="J225" s="8" t="inlineStr">
        <is>
          <t>3-Bet 频率正例-单位与换算正确</t>
        </is>
      </c>
      <c r="K225" s="9" t="inlineStr">
        <is>
          <t>正例</t>
        </is>
      </c>
      <c r="L225" s="8" t="inlineStr">
        <is>
          <t>1、已登录，当前用户是 Hero。
2、各手筹码和大盲已记下，按该手换算后「3-Bet 频率」=n</t>
        </is>
      </c>
      <c r="M225" s="8" t="inlineStr">
        <is>
          <t>1、上传素材，生成复盘报告，等到能打开。
2、打开「3-Bet 频率」，检查是否为n。</t>
        </is>
      </c>
      <c r="N225" s="8" t="inlineStr">
        <is>
          <t>3-Bet 频率=n</t>
        </is>
      </c>
      <c r="O225" s="8" t="inlineStr">
        <is>
          <t>style_profile_stats.three_bet_rate</t>
        </is>
      </c>
      <c r="P225" s="10" t="inlineStr">
        <is>
          <t>未执行</t>
        </is>
      </c>
      <c r="Q225" s="10" t="inlineStr"/>
      <c r="R225" s="11" t="inlineStr"/>
    </row>
    <row r="226" ht="72" customHeight="1">
      <c r="A226" s="5" t="inlineStr">
        <is>
          <t>TC-RPT-222</t>
        </is>
      </c>
      <c r="B226" s="5" t="inlineStr">
        <is>
          <t>four_bet_rate</t>
        </is>
      </c>
      <c r="C226" s="5" t="inlineStr">
        <is>
          <t>4-Bet 频率</t>
        </is>
      </c>
      <c r="D226" s="14" t="inlineStr">
        <is>
          <t>P2</t>
        </is>
      </c>
      <c r="E226" s="7" t="inlineStr">
        <is>
          <t>等价类划分法</t>
        </is>
      </c>
      <c r="F226" s="7" t="inlineStr">
        <is>
          <t>打法画像</t>
        </is>
      </c>
      <c r="G226" s="7" t="inlineStr">
        <is>
          <t>内部</t>
        </is>
      </c>
      <c r="H226" s="8" t="inlineStr">
        <is>
          <t>Hero 面对 3-Bet 后的反击频率</t>
        </is>
      </c>
      <c r="I226" s="8" t="inlineStr">
        <is>
          <t>4-Bet 次数 / 面对 3-Bet 机会次数</t>
        </is>
      </c>
      <c r="J226" s="8" t="inlineStr">
        <is>
          <t>4-Bet 频率正例-面对再加注后再加注除以面对再加注次数</t>
        </is>
      </c>
      <c r="K226" s="9" t="inlineStr">
        <is>
          <t>正例</t>
        </is>
      </c>
      <c r="L226" s="8" t="inlineStr">
        <is>
          <t>1、已登录，当前用户是 Hero。只用正例场。
2、素材里分子次数=a，分母次数=b，「4-Bet 频率」应对=a/b</t>
        </is>
      </c>
      <c r="M226" s="8" t="inlineStr">
        <is>
          <t>1、上传素材，生成复盘报告，等到能打开。
2、打开「4-Bet 频率」，检查是否为a/b。</t>
        </is>
      </c>
      <c r="N226" s="8" t="inlineStr">
        <is>
          <t>4-Bet 频率=a/b</t>
        </is>
      </c>
      <c r="O226" s="8" t="inlineStr">
        <is>
          <t>style_profile_stats.four_bet_rate</t>
        </is>
      </c>
      <c r="P226" s="10" t="inlineStr">
        <is>
          <t>未执行</t>
        </is>
      </c>
      <c r="Q226" s="10" t="inlineStr"/>
      <c r="R226" s="11" t="inlineStr"/>
    </row>
    <row r="227" ht="72" customHeight="1">
      <c r="A227" s="5" t="inlineStr">
        <is>
          <t>TC-RPT-223</t>
        </is>
      </c>
      <c r="B227" s="5" t="inlineStr">
        <is>
          <t>four_bet_rate</t>
        </is>
      </c>
      <c r="C227" s="5" t="inlineStr">
        <is>
          <t>4-Bet 频率</t>
        </is>
      </c>
      <c r="D227" s="14" t="inlineStr">
        <is>
          <t>P2</t>
        </is>
      </c>
      <c r="E227" s="7" t="inlineStr">
        <is>
          <t>等价类划分法</t>
        </is>
      </c>
      <c r="F227" s="7" t="inlineStr">
        <is>
          <t>打法画像</t>
        </is>
      </c>
      <c r="G227" s="7" t="inlineStr">
        <is>
          <t>内部</t>
        </is>
      </c>
      <c r="H227" s="8" t="inlineStr">
        <is>
          <t>Hero 面对 3-Bet 后的反击频率</t>
        </is>
      </c>
      <c r="I227" s="8" t="inlineStr">
        <is>
          <t>4-Bet 次数 / 面对 3-Bet 机会次数</t>
        </is>
      </c>
      <c r="J227" s="8" t="inlineStr">
        <is>
          <t>4-Bet 频率反例-自己再加注后被再加</t>
        </is>
      </c>
      <c r="K227" s="12" t="inlineStr">
        <is>
          <t>反例</t>
        </is>
      </c>
      <c r="L227" s="8" t="inlineStr">
        <is>
          <t>1、已登录，当前用户是 Hero。准备下列不该计入的素材。
2、Hero自己再加注后被对手再加。这是面对再加注后再加注不是再加注分子，「4-Bet 频率」仍=a/b</t>
        </is>
      </c>
      <c r="M227" s="8" t="inlineStr">
        <is>
          <t>1、上传素材，生成复盘报告，等到能打开。
2、打开「4-Bet 频率」，检查是否为a/b。</t>
        </is>
      </c>
      <c r="N227" s="8" t="inlineStr">
        <is>
          <t>4-Bet 频率=a/b</t>
        </is>
      </c>
      <c r="O227" s="8" t="inlineStr">
        <is>
          <t>style_profile_stats.four_bet_rate</t>
        </is>
      </c>
      <c r="P227" s="10" t="inlineStr">
        <is>
          <t>未执行</t>
        </is>
      </c>
      <c r="Q227" s="10" t="inlineStr"/>
      <c r="R227" s="11" t="inlineStr"/>
    </row>
    <row r="228" ht="72" customHeight="1">
      <c r="A228" s="5" t="inlineStr">
        <is>
          <t>TC-RPT-224</t>
        </is>
      </c>
      <c r="B228" s="5" t="inlineStr">
        <is>
          <t>four_bet_rate</t>
        </is>
      </c>
      <c r="C228" s="5" t="inlineStr">
        <is>
          <t>4-Bet 频率</t>
        </is>
      </c>
      <c r="D228" s="14" t="inlineStr">
        <is>
          <t>P2</t>
        </is>
      </c>
      <c r="E228" s="7" t="inlineStr">
        <is>
          <t>因果图法</t>
        </is>
      </c>
      <c r="F228" s="7" t="inlineStr">
        <is>
          <t>打法画像</t>
        </is>
      </c>
      <c r="G228" s="7" t="inlineStr">
        <is>
          <t>内部</t>
        </is>
      </c>
      <c r="H228" s="8" t="inlineStr">
        <is>
          <t>Hero 面对 3-Bet 后的反击频率</t>
        </is>
      </c>
      <c r="I228" s="8" t="inlineStr">
        <is>
          <t>4-Bet 次数 / 面对 3-Bet 机会次数</t>
        </is>
      </c>
      <c r="J228" s="8" t="inlineStr">
        <is>
          <t>4-Bet 频率正例-面对再加注跟注或弃牌</t>
        </is>
      </c>
      <c r="K228" s="9" t="inlineStr">
        <is>
          <t>正例</t>
        </is>
      </c>
      <c r="L228" s="8" t="inlineStr">
        <is>
          <t>1、已登录，当前用户是 Hero。
2、面对再加注，Hero弃牌或跟注。这手分母加1，分子不加
3、手算分子=a、分母=b，「4-Bet 频率」应为=a/b</t>
        </is>
      </c>
      <c r="M228" s="8" t="inlineStr">
        <is>
          <t>1、上传素材，生成复盘报告，等到能打开。
2、打开「4-Bet 频率」，检查是否为a/b。</t>
        </is>
      </c>
      <c r="N228" s="8" t="inlineStr">
        <is>
          <t>4-Bet 频率=a/b</t>
        </is>
      </c>
      <c r="O228" s="8" t="inlineStr">
        <is>
          <t>style_profile_stats.four_bet_rate</t>
        </is>
      </c>
      <c r="P228" s="10" t="inlineStr">
        <is>
          <t>未执行</t>
        </is>
      </c>
      <c r="Q228" s="10" t="inlineStr"/>
      <c r="R228" s="11" t="inlineStr"/>
    </row>
    <row r="229" ht="72" customHeight="1">
      <c r="A229" s="5" t="inlineStr">
        <is>
          <t>TC-RPT-225</t>
        </is>
      </c>
      <c r="B229" s="5" t="inlineStr">
        <is>
          <t>four_bet_rate</t>
        </is>
      </c>
      <c r="C229" s="5" t="inlineStr">
        <is>
          <t>4-Bet 频率</t>
        </is>
      </c>
      <c r="D229" s="14" t="inlineStr">
        <is>
          <t>P2</t>
        </is>
      </c>
      <c r="E229" s="7" t="inlineStr">
        <is>
          <t>边界值分析法</t>
        </is>
      </c>
      <c r="F229" s="7" t="inlineStr">
        <is>
          <t>打法画像</t>
        </is>
      </c>
      <c r="G229" s="7" t="inlineStr">
        <is>
          <t>内部</t>
        </is>
      </c>
      <c r="H229" s="8" t="inlineStr">
        <is>
          <t>Hero 面对 3-Bet 后的反击频率</t>
        </is>
      </c>
      <c r="I229" s="8" t="inlineStr">
        <is>
          <t>4-Bet 次数 / 面对 3-Bet 机会次数</t>
        </is>
      </c>
      <c r="J229" s="8" t="inlineStr">
        <is>
          <t>4-Bet 频率反例-分母为0字段不出现</t>
        </is>
      </c>
      <c r="K229" s="12" t="inlineStr">
        <is>
          <t>反例</t>
        </is>
      </c>
      <c r="L229" s="8" t="inlineStr">
        <is>
          <t>1、已登录，当前用户是 Hero。
2、整场用户没有面对 3bet。「4-Bet 频率」应为空或不出现，不能写成 0% 或 100%。</t>
        </is>
      </c>
      <c r="M229" s="8" t="inlineStr">
        <is>
          <t>1、上传素材，生成复盘报告，等到能打开。
2、打开「4-Bet 频率」，检查是否为空或不出现。</t>
        </is>
      </c>
      <c r="N229" s="8" t="inlineStr">
        <is>
          <t>4-Bet 频率为空或不出现</t>
        </is>
      </c>
      <c r="O229" s="8" t="inlineStr">
        <is>
          <t>style_profile_stats.four_bet_rate</t>
        </is>
      </c>
      <c r="P229" s="10" t="inlineStr">
        <is>
          <t>未执行</t>
        </is>
      </c>
      <c r="Q229" s="10" t="inlineStr"/>
      <c r="R229" s="11" t="inlineStr"/>
    </row>
    <row r="230" ht="72" customHeight="1">
      <c r="A230" s="5" t="inlineStr">
        <is>
          <t>TC-RPT-226</t>
        </is>
      </c>
      <c r="B230" s="5" t="inlineStr">
        <is>
          <t>four_bet_rate</t>
        </is>
      </c>
      <c r="C230" s="5" t="inlineStr">
        <is>
          <t>4-Bet 频率</t>
        </is>
      </c>
      <c r="D230" s="14" t="inlineStr">
        <is>
          <t>P2</t>
        </is>
      </c>
      <c r="E230" s="7" t="inlineStr">
        <is>
          <t>边界值分析法</t>
        </is>
      </c>
      <c r="F230" s="7" t="inlineStr">
        <is>
          <t>打法画像</t>
        </is>
      </c>
      <c r="G230" s="7" t="inlineStr">
        <is>
          <t>内部</t>
        </is>
      </c>
      <c r="H230" s="8" t="inlineStr">
        <is>
          <t>Hero 面对 3-Bet 后的反击频率</t>
        </is>
      </c>
      <c r="I230" s="8" t="inlineStr">
        <is>
          <t>4-Bet 次数 / 面对 3-Bet 机会次数</t>
        </is>
      </c>
      <c r="J230" s="8" t="inlineStr">
        <is>
          <t>4-Bet 频率正例-单位与换算正确</t>
        </is>
      </c>
      <c r="K230" s="9" t="inlineStr">
        <is>
          <t>正例</t>
        </is>
      </c>
      <c r="L230" s="8" t="inlineStr">
        <is>
          <t>1、已登录，当前用户是 Hero。
2、各手筹码和大盲已记下，按该手换算后「4-Bet 频率」=n</t>
        </is>
      </c>
      <c r="M230" s="8" t="inlineStr">
        <is>
          <t>1、上传素材，生成复盘报告，等到能打开。
2、打开「4-Bet 频率」，检查是否为n。</t>
        </is>
      </c>
      <c r="N230" s="8" t="inlineStr">
        <is>
          <t>4-Bet 频率=n</t>
        </is>
      </c>
      <c r="O230" s="8" t="inlineStr">
        <is>
          <t>style_profile_stats.four_bet_rate</t>
        </is>
      </c>
      <c r="P230" s="10" t="inlineStr">
        <is>
          <t>未执行</t>
        </is>
      </c>
      <c r="Q230" s="10" t="inlineStr"/>
      <c r="R230" s="11" t="inlineStr"/>
    </row>
    <row r="231" ht="72" customHeight="1">
      <c r="A231" s="5" t="inlineStr">
        <is>
          <t>TC-RPT-227</t>
        </is>
      </c>
      <c r="B231" s="5" t="inlineStr">
        <is>
          <t>fold_to_3bet_rate</t>
        </is>
      </c>
      <c r="C231" s="5" t="inlineStr">
        <is>
          <t>面对 3-Bet 弃牌率</t>
        </is>
      </c>
      <c r="D231" s="14" t="inlineStr">
        <is>
          <t>P2</t>
        </is>
      </c>
      <c r="E231" s="7" t="inlineStr">
        <is>
          <t>等价类划分法</t>
        </is>
      </c>
      <c r="F231" s="7" t="inlineStr">
        <is>
          <t>打法画像</t>
        </is>
      </c>
      <c r="G231" s="7" t="inlineStr">
        <is>
          <t>内部</t>
        </is>
      </c>
      <c r="H231" s="8" t="inlineStr">
        <is>
          <t>Hero 面对 3-Bet 的防守纪律</t>
        </is>
      </c>
      <c r="I231" s="8" t="inlineStr">
        <is>
          <t>面对 3-Bet 弃牌次数 / 面对 3-Bet 次数</t>
        </is>
      </c>
      <c r="J231" s="8" t="inlineStr">
        <is>
          <t>面对 3-Bet 弃牌率正例-面对再加注弃牌除以面对再加注次数</t>
        </is>
      </c>
      <c r="K231" s="9" t="inlineStr">
        <is>
          <t>正例</t>
        </is>
      </c>
      <c r="L231" s="8" t="inlineStr">
        <is>
          <t>1、已登录，当前用户是 Hero。只用正例场。
2、素材里分子次数=a，分母次数=b，「面对 3-Bet 弃牌率」应对=a/b</t>
        </is>
      </c>
      <c r="M231" s="8" t="inlineStr">
        <is>
          <t>1、上传素材，生成复盘报告，等到能打开。
2、打开「面对 3-Bet 弃牌率」，检查是否为a/b。</t>
        </is>
      </c>
      <c r="N231" s="8" t="inlineStr">
        <is>
          <t>面对 3-Bet 弃牌率=a/b</t>
        </is>
      </c>
      <c r="O231" s="8" t="inlineStr">
        <is>
          <t>style_profile_stats.fold_to_3bet_rate</t>
        </is>
      </c>
      <c r="P231" s="10" t="inlineStr">
        <is>
          <t>未执行</t>
        </is>
      </c>
      <c r="Q231" s="10" t="inlineStr"/>
      <c r="R231" s="11" t="inlineStr"/>
    </row>
    <row r="232" ht="72" customHeight="1">
      <c r="A232" s="5" t="inlineStr">
        <is>
          <t>TC-RPT-228</t>
        </is>
      </c>
      <c r="B232" s="5" t="inlineStr">
        <is>
          <t>fold_to_3bet_rate</t>
        </is>
      </c>
      <c r="C232" s="5" t="inlineStr">
        <is>
          <t>面对 3-Bet 弃牌率</t>
        </is>
      </c>
      <c r="D232" s="14" t="inlineStr">
        <is>
          <t>P2</t>
        </is>
      </c>
      <c r="E232" s="7" t="inlineStr">
        <is>
          <t>等价类划分法</t>
        </is>
      </c>
      <c r="F232" s="7" t="inlineStr">
        <is>
          <t>打法画像</t>
        </is>
      </c>
      <c r="G232" s="7" t="inlineStr">
        <is>
          <t>内部</t>
        </is>
      </c>
      <c r="H232" s="8" t="inlineStr">
        <is>
          <t>Hero 面对 3-Bet 的防守纪律</t>
        </is>
      </c>
      <c r="I232" s="8" t="inlineStr">
        <is>
          <t>面对 3-Bet 弃牌次数 / 面对 3-Bet 次数</t>
        </is>
      </c>
      <c r="J232" s="8" t="inlineStr">
        <is>
          <t>面对 3-Bet 弃牌率反例-面对加注就弃</t>
        </is>
      </c>
      <c r="K232" s="12" t="inlineStr">
        <is>
          <t>反例</t>
        </is>
      </c>
      <c r="L232" s="8" t="inlineStr">
        <is>
          <t>1、已登录，当前用户是 Hero。准备下列不该计入的素材。
2、Hero面对加注就弃。不是面对再加注弃牌，「面对 3-Bet 弃牌率」仍=a/b</t>
        </is>
      </c>
      <c r="M232" s="8" t="inlineStr">
        <is>
          <t>1、上传素材，生成复盘报告，等到能打开。
2、打开「面对 3-Bet 弃牌率」，检查是否为a/b。</t>
        </is>
      </c>
      <c r="N232" s="8" t="inlineStr">
        <is>
          <t>面对 3-Bet 弃牌率=a/b</t>
        </is>
      </c>
      <c r="O232" s="8" t="inlineStr">
        <is>
          <t>style_profile_stats.fold_to_3bet_rate</t>
        </is>
      </c>
      <c r="P232" s="10" t="inlineStr">
        <is>
          <t>未执行</t>
        </is>
      </c>
      <c r="Q232" s="10" t="inlineStr"/>
      <c r="R232" s="11" t="inlineStr"/>
    </row>
    <row r="233" ht="72" customHeight="1">
      <c r="A233" s="5" t="inlineStr">
        <is>
          <t>TC-RPT-229</t>
        </is>
      </c>
      <c r="B233" s="5" t="inlineStr">
        <is>
          <t>fold_to_3bet_rate</t>
        </is>
      </c>
      <c r="C233" s="5" t="inlineStr">
        <is>
          <t>面对 3-Bet 弃牌率</t>
        </is>
      </c>
      <c r="D233" s="14" t="inlineStr">
        <is>
          <t>P2</t>
        </is>
      </c>
      <c r="E233" s="7" t="inlineStr">
        <is>
          <t>因果图法</t>
        </is>
      </c>
      <c r="F233" s="7" t="inlineStr">
        <is>
          <t>打法画像</t>
        </is>
      </c>
      <c r="G233" s="7" t="inlineStr">
        <is>
          <t>内部</t>
        </is>
      </c>
      <c r="H233" s="8" t="inlineStr">
        <is>
          <t>Hero 面对 3-Bet 的防守纪律</t>
        </is>
      </c>
      <c r="I233" s="8" t="inlineStr">
        <is>
          <t>面对 3-Bet 弃牌次数 / 面对 3-Bet 次数</t>
        </is>
      </c>
      <c r="J233" s="8" t="inlineStr">
        <is>
          <t>面对 3-Bet 弃牌率正例-面对再加注跟注或再加注</t>
        </is>
      </c>
      <c r="K233" s="9" t="inlineStr">
        <is>
          <t>正例</t>
        </is>
      </c>
      <c r="L233" s="8" t="inlineStr">
        <is>
          <t>1、已登录，当前用户是 Hero。
2、面对再加注，Hero跟注或再加注。这手分母加1，分子不加
3、手算分子=a、分母=b，「面对 3-Bet 弃牌率」应为=a/b</t>
        </is>
      </c>
      <c r="M233" s="8" t="inlineStr">
        <is>
          <t>1、上传素材，生成复盘报告，等到能打开。
2、打开「面对 3-Bet 弃牌率」，检查是否为a/b。</t>
        </is>
      </c>
      <c r="N233" s="8" t="inlineStr">
        <is>
          <t>面对 3-Bet 弃牌率=a/b</t>
        </is>
      </c>
      <c r="O233" s="8" t="inlineStr">
        <is>
          <t>style_profile_stats.fold_to_3bet_rate</t>
        </is>
      </c>
      <c r="P233" s="10" t="inlineStr">
        <is>
          <t>未执行</t>
        </is>
      </c>
      <c r="Q233" s="10" t="inlineStr"/>
      <c r="R233" s="11" t="inlineStr"/>
    </row>
    <row r="234" ht="72" customHeight="1">
      <c r="A234" s="5" t="inlineStr">
        <is>
          <t>TC-RPT-230</t>
        </is>
      </c>
      <c r="B234" s="5" t="inlineStr">
        <is>
          <t>fold_to_3bet_rate</t>
        </is>
      </c>
      <c r="C234" s="5" t="inlineStr">
        <is>
          <t>面对 3-Bet 弃牌率</t>
        </is>
      </c>
      <c r="D234" s="14" t="inlineStr">
        <is>
          <t>P2</t>
        </is>
      </c>
      <c r="E234" s="7" t="inlineStr">
        <is>
          <t>边界值分析法</t>
        </is>
      </c>
      <c r="F234" s="7" t="inlineStr">
        <is>
          <t>打法画像</t>
        </is>
      </c>
      <c r="G234" s="7" t="inlineStr">
        <is>
          <t>内部</t>
        </is>
      </c>
      <c r="H234" s="8" t="inlineStr">
        <is>
          <t>Hero 面对 3-Bet 的防守纪律</t>
        </is>
      </c>
      <c r="I234" s="8" t="inlineStr">
        <is>
          <t>面对 3-Bet 弃牌次数 / 面对 3-Bet 次数</t>
        </is>
      </c>
      <c r="J234" s="8" t="inlineStr">
        <is>
          <t>面对 3-Bet 弃牌率反例-分母为0字段不出现</t>
        </is>
      </c>
      <c r="K234" s="12" t="inlineStr">
        <is>
          <t>反例</t>
        </is>
      </c>
      <c r="L234" s="8" t="inlineStr">
        <is>
          <t>1、已登录，当前用户是 Hero。
2、没有面对 3-bet。「面对 3-Bet 弃牌率」应为空或不出现，不能写成 0% 或 100%。</t>
        </is>
      </c>
      <c r="M234" s="8" t="inlineStr">
        <is>
          <t>1、上传素材，生成复盘报告，等到能打开。
2、打开「面对 3-Bet 弃牌率」，检查是否为空或不出现。</t>
        </is>
      </c>
      <c r="N234" s="8" t="inlineStr">
        <is>
          <t>面对 3-Bet 弃牌率为空或不出现</t>
        </is>
      </c>
      <c r="O234" s="8" t="inlineStr">
        <is>
          <t>style_profile_stats.fold_to_3bet_rate</t>
        </is>
      </c>
      <c r="P234" s="10" t="inlineStr">
        <is>
          <t>未执行</t>
        </is>
      </c>
      <c r="Q234" s="10" t="inlineStr"/>
      <c r="R234" s="11" t="inlineStr"/>
    </row>
    <row r="235" ht="72" customHeight="1">
      <c r="A235" s="5" t="inlineStr">
        <is>
          <t>TC-RPT-231</t>
        </is>
      </c>
      <c r="B235" s="5" t="inlineStr">
        <is>
          <t>fold_to_3bet_rate</t>
        </is>
      </c>
      <c r="C235" s="5" t="inlineStr">
        <is>
          <t>面对 3-Bet 弃牌率</t>
        </is>
      </c>
      <c r="D235" s="14" t="inlineStr">
        <is>
          <t>P2</t>
        </is>
      </c>
      <c r="E235" s="7" t="inlineStr">
        <is>
          <t>边界值分析法</t>
        </is>
      </c>
      <c r="F235" s="7" t="inlineStr">
        <is>
          <t>打法画像</t>
        </is>
      </c>
      <c r="G235" s="7" t="inlineStr">
        <is>
          <t>内部</t>
        </is>
      </c>
      <c r="H235" s="8" t="inlineStr">
        <is>
          <t>Hero 面对 3-Bet 的防守纪律</t>
        </is>
      </c>
      <c r="I235" s="8" t="inlineStr">
        <is>
          <t>面对 3-Bet 弃牌次数 / 面对 3-Bet 次数</t>
        </is>
      </c>
      <c r="J235" s="8" t="inlineStr">
        <is>
          <t>面对 3-Bet 弃牌率正例-单位与换算正确</t>
        </is>
      </c>
      <c r="K235" s="9" t="inlineStr">
        <is>
          <t>正例</t>
        </is>
      </c>
      <c r="L235" s="8" t="inlineStr">
        <is>
          <t>1、已登录，当前用户是 Hero。
2、各手筹码和大盲已记下，按该手换算后「面对 3-Bet 弃牌率」=n</t>
        </is>
      </c>
      <c r="M235" s="8" t="inlineStr">
        <is>
          <t>1、上传素材，生成复盘报告，等到能打开。
2、打开「面对 3-Bet 弃牌率」，检查是否为n。</t>
        </is>
      </c>
      <c r="N235" s="8" t="inlineStr">
        <is>
          <t>面对 3-Bet 弃牌率=n</t>
        </is>
      </c>
      <c r="O235" s="8" t="inlineStr">
        <is>
          <t>style_profile_stats.fold_to_3bet_rate</t>
        </is>
      </c>
      <c r="P235" s="10" t="inlineStr">
        <is>
          <t>未执行</t>
        </is>
      </c>
      <c r="Q235" s="10" t="inlineStr"/>
      <c r="R235" s="11" t="inlineStr"/>
    </row>
    <row r="236" ht="72" customHeight="1">
      <c r="A236" s="5" t="inlineStr">
        <is>
          <t>TC-RPT-232</t>
        </is>
      </c>
      <c r="B236" s="5" t="inlineStr">
        <is>
          <t>bb_defense_rate</t>
        </is>
      </c>
      <c r="C236" s="5" t="inlineStr">
        <is>
          <t>大盲防守频率</t>
        </is>
      </c>
      <c r="D236" s="13" t="inlineStr">
        <is>
          <t>P1</t>
        </is>
      </c>
      <c r="E236" s="7" t="inlineStr">
        <is>
          <t>等价类划分法</t>
        </is>
      </c>
      <c r="F236" s="7" t="inlineStr">
        <is>
          <t>打法画像</t>
        </is>
      </c>
      <c r="G236" s="7" t="inlineStr">
        <is>
          <t>内部</t>
        </is>
      </c>
      <c r="H236" s="8" t="inlineStr">
        <is>
          <t>Hero 在 BB 面对加注的继续参与比例</t>
        </is>
      </c>
      <c r="I236" s="8" t="inlineStr">
        <is>
          <t>BB 面对加注时 call / raise 次数 / BB 面对加注次数</t>
        </is>
      </c>
      <c r="J236" s="8" t="inlineStr">
        <is>
          <t>大盲防守频率正例-大盲被加注后跟或再加除以大盲被加注次数</t>
        </is>
      </c>
      <c r="K236" s="9" t="inlineStr">
        <is>
          <t>正例</t>
        </is>
      </c>
      <c r="L236" s="8" t="inlineStr">
        <is>
          <t>1、已登录，当前用户是 Hero。只用正例场。
2、素材里分子次数=a，分母次数=b，「大盲防守频率」应对=a/b</t>
        </is>
      </c>
      <c r="M236" s="8" t="inlineStr">
        <is>
          <t>1、上传素材，生成复盘报告，等到能打开。
2、打开「大盲防守频率」，检查是否为a/b。</t>
        </is>
      </c>
      <c r="N236" s="8" t="inlineStr">
        <is>
          <t>大盲防守频率=a/b</t>
        </is>
      </c>
      <c r="O236" s="8" t="inlineStr">
        <is>
          <t>style_profile_stats.bb_defense_rate</t>
        </is>
      </c>
      <c r="P236" s="10" t="inlineStr">
        <is>
          <t>未执行</t>
        </is>
      </c>
      <c r="Q236" s="10" t="inlineStr"/>
      <c r="R236" s="11" t="inlineStr"/>
    </row>
    <row r="237" ht="72" customHeight="1">
      <c r="A237" s="5" t="inlineStr">
        <is>
          <t>TC-RPT-233</t>
        </is>
      </c>
      <c r="B237" s="5" t="inlineStr">
        <is>
          <t>bb_defense_rate</t>
        </is>
      </c>
      <c r="C237" s="5" t="inlineStr">
        <is>
          <t>大盲防守频率</t>
        </is>
      </c>
      <c r="D237" s="13" t="inlineStr">
        <is>
          <t>P1</t>
        </is>
      </c>
      <c r="E237" s="7" t="inlineStr">
        <is>
          <t>等价类划分法</t>
        </is>
      </c>
      <c r="F237" s="7" t="inlineStr">
        <is>
          <t>打法画像</t>
        </is>
      </c>
      <c r="G237" s="7" t="inlineStr">
        <is>
          <t>内部</t>
        </is>
      </c>
      <c r="H237" s="8" t="inlineStr">
        <is>
          <t>Hero 在 BB 面对加注的继续参与比例</t>
        </is>
      </c>
      <c r="I237" s="8" t="inlineStr">
        <is>
          <t>BB 面对加注时 call / raise 次数 / BB 面对加注次数</t>
        </is>
      </c>
      <c r="J237" s="8" t="inlineStr">
        <is>
          <t>大盲防守频率反例-Hero不在大盲</t>
        </is>
      </c>
      <c r="K237" s="12" t="inlineStr">
        <is>
          <t>反例</t>
        </is>
      </c>
      <c r="L237" s="8" t="inlineStr">
        <is>
          <t>1、已登录，当前用户是 Hero。准备下列不该计入的素材。
2、Hero不在大盲位却被算进大盲防守，「大盲防守频率」仍=a/b</t>
        </is>
      </c>
      <c r="M237" s="8" t="inlineStr">
        <is>
          <t>1、上传素材，生成复盘报告，等到能打开。
2、打开「大盲防守频率」，检查是否为a/b。</t>
        </is>
      </c>
      <c r="N237" s="8" t="inlineStr">
        <is>
          <t>大盲防守频率=a/b</t>
        </is>
      </c>
      <c r="O237" s="8" t="inlineStr">
        <is>
          <t>style_profile_stats.bb_defense_rate</t>
        </is>
      </c>
      <c r="P237" s="10" t="inlineStr">
        <is>
          <t>未执行</t>
        </is>
      </c>
      <c r="Q237" s="10" t="inlineStr"/>
      <c r="R237" s="11" t="inlineStr"/>
    </row>
    <row r="238" ht="72" customHeight="1">
      <c r="A238" s="5" t="inlineStr">
        <is>
          <t>TC-RPT-234</t>
        </is>
      </c>
      <c r="B238" s="5" t="inlineStr">
        <is>
          <t>bb_defense_rate</t>
        </is>
      </c>
      <c r="C238" s="5" t="inlineStr">
        <is>
          <t>大盲防守频率</t>
        </is>
      </c>
      <c r="D238" s="13" t="inlineStr">
        <is>
          <t>P1</t>
        </is>
      </c>
      <c r="E238" s="7" t="inlineStr">
        <is>
          <t>因果图法</t>
        </is>
      </c>
      <c r="F238" s="7" t="inlineStr">
        <is>
          <t>打法画像</t>
        </is>
      </c>
      <c r="G238" s="7" t="inlineStr">
        <is>
          <t>内部</t>
        </is>
      </c>
      <c r="H238" s="8" t="inlineStr">
        <is>
          <t>Hero 在 BB 面对加注的继续参与比例</t>
        </is>
      </c>
      <c r="I238" s="8" t="inlineStr">
        <is>
          <t>BB 面对加注时 call / raise 次数 / BB 面对加注次数</t>
        </is>
      </c>
      <c r="J238" s="8" t="inlineStr">
        <is>
          <t>大盲防守频率正例-大盲被加注后弃牌</t>
        </is>
      </c>
      <c r="K238" s="9" t="inlineStr">
        <is>
          <t>正例</t>
        </is>
      </c>
      <c r="L238" s="8" t="inlineStr">
        <is>
          <t>1、已登录，当前用户是 Hero。
2、Hero坐大盲被加注后弃牌。这手分母加1，分子不加
3、手算分子=a、分母=b，「大盲防守频率」应为=a/b</t>
        </is>
      </c>
      <c r="M238" s="8" t="inlineStr">
        <is>
          <t>1、上传素材，生成复盘报告，等到能打开。
2、打开「大盲防守频率」，检查是否为a/b。</t>
        </is>
      </c>
      <c r="N238" s="8" t="inlineStr">
        <is>
          <t>大盲防守频率=a/b</t>
        </is>
      </c>
      <c r="O238" s="8" t="inlineStr">
        <is>
          <t>style_profile_stats.bb_defense_rate</t>
        </is>
      </c>
      <c r="P238" s="10" t="inlineStr">
        <is>
          <t>未执行</t>
        </is>
      </c>
      <c r="Q238" s="10" t="inlineStr"/>
      <c r="R238" s="11" t="inlineStr"/>
    </row>
    <row r="239" ht="72" customHeight="1">
      <c r="A239" s="5" t="inlineStr">
        <is>
          <t>TC-RPT-235</t>
        </is>
      </c>
      <c r="B239" s="5" t="inlineStr">
        <is>
          <t>bb_defense_rate</t>
        </is>
      </c>
      <c r="C239" s="5" t="inlineStr">
        <is>
          <t>大盲防守频率</t>
        </is>
      </c>
      <c r="D239" s="13" t="inlineStr">
        <is>
          <t>P1</t>
        </is>
      </c>
      <c r="E239" s="7" t="inlineStr">
        <is>
          <t>边界值分析法</t>
        </is>
      </c>
      <c r="F239" s="7" t="inlineStr">
        <is>
          <t>打法画像</t>
        </is>
      </c>
      <c r="G239" s="7" t="inlineStr">
        <is>
          <t>内部</t>
        </is>
      </c>
      <c r="H239" s="8" t="inlineStr">
        <is>
          <t>Hero 在 BB 面对加注的继续参与比例</t>
        </is>
      </c>
      <c r="I239" s="8" t="inlineStr">
        <is>
          <t>BB 面对加注时 call / raise 次数 / BB 面对加注次数</t>
        </is>
      </c>
      <c r="J239" s="8" t="inlineStr">
        <is>
          <t>大盲防守频率反例-分母为0字段不出现</t>
        </is>
      </c>
      <c r="K239" s="12" t="inlineStr">
        <is>
          <t>反例</t>
        </is>
      </c>
      <c r="L239" s="8" t="inlineStr">
        <is>
          <t>1、已登录，当前用户是 Hero。
2、Hero 本场没有在 BB 被加注。「大盲防守频率」应为空或不出现，不能写成 0% 或 100%。</t>
        </is>
      </c>
      <c r="M239" s="8" t="inlineStr">
        <is>
          <t>1、上传素材，生成复盘报告，等到能打开。
2、打开「大盲防守频率」，检查是否为空或不出现。</t>
        </is>
      </c>
      <c r="N239" s="8" t="inlineStr">
        <is>
          <t>大盲防守频率为空或不出现</t>
        </is>
      </c>
      <c r="O239" s="8" t="inlineStr">
        <is>
          <t>style_profile_stats.bb_defense_rate</t>
        </is>
      </c>
      <c r="P239" s="10" t="inlineStr">
        <is>
          <t>未执行</t>
        </is>
      </c>
      <c r="Q239" s="10" t="inlineStr"/>
      <c r="R239" s="11" t="inlineStr"/>
    </row>
    <row r="240" ht="72" customHeight="1">
      <c r="A240" s="5" t="inlineStr">
        <is>
          <t>TC-RPT-236</t>
        </is>
      </c>
      <c r="B240" s="5" t="inlineStr">
        <is>
          <t>bb_defense_rate</t>
        </is>
      </c>
      <c r="C240" s="5" t="inlineStr">
        <is>
          <t>大盲防守频率</t>
        </is>
      </c>
      <c r="D240" s="13" t="inlineStr">
        <is>
          <t>P1</t>
        </is>
      </c>
      <c r="E240" s="7" t="inlineStr">
        <is>
          <t>边界值分析法</t>
        </is>
      </c>
      <c r="F240" s="7" t="inlineStr">
        <is>
          <t>打法画像</t>
        </is>
      </c>
      <c r="G240" s="7" t="inlineStr">
        <is>
          <t>内部</t>
        </is>
      </c>
      <c r="H240" s="8" t="inlineStr">
        <is>
          <t>Hero 在 BB 面对加注的继续参与比例</t>
        </is>
      </c>
      <c r="I240" s="8" t="inlineStr">
        <is>
          <t>BB 面对加注时 call / raise 次数 / BB 面对加注次数</t>
        </is>
      </c>
      <c r="J240" s="8" t="inlineStr">
        <is>
          <t>大盲防守频率正例-单位与换算正确</t>
        </is>
      </c>
      <c r="K240" s="9" t="inlineStr">
        <is>
          <t>正例</t>
        </is>
      </c>
      <c r="L240" s="8" t="inlineStr">
        <is>
          <t>1、已登录，当前用户是 Hero。
2、各手筹码和大盲已记下，按该手换算后「大盲防守频率」=n</t>
        </is>
      </c>
      <c r="M240" s="8" t="inlineStr">
        <is>
          <t>1、上传素材，生成复盘报告，等到能打开。
2、打开「大盲防守频率」，检查是否为n。</t>
        </is>
      </c>
      <c r="N240" s="8" t="inlineStr">
        <is>
          <t>大盲防守频率=n</t>
        </is>
      </c>
      <c r="O240" s="8" t="inlineStr">
        <is>
          <t>style_profile_stats.bb_defense_rate</t>
        </is>
      </c>
      <c r="P240" s="10" t="inlineStr">
        <is>
          <t>未执行</t>
        </is>
      </c>
      <c r="Q240" s="10" t="inlineStr"/>
      <c r="R240" s="11" t="inlineStr"/>
    </row>
    <row r="241" ht="72" customHeight="1">
      <c r="A241" s="5" t="inlineStr">
        <is>
          <t>TC-RPT-237</t>
        </is>
      </c>
      <c r="B241" s="5" t="inlineStr">
        <is>
          <t>sb_defense_rate</t>
        </is>
      </c>
      <c r="C241" s="5" t="inlineStr">
        <is>
          <t>小盲防守频率</t>
        </is>
      </c>
      <c r="D241" s="14" t="inlineStr">
        <is>
          <t>P2</t>
        </is>
      </c>
      <c r="E241" s="7" t="inlineStr">
        <is>
          <t>等价类划分法</t>
        </is>
      </c>
      <c r="F241" s="7" t="inlineStr">
        <is>
          <t>打法画像</t>
        </is>
      </c>
      <c r="G241" s="7" t="inlineStr">
        <is>
          <t>内部</t>
        </is>
      </c>
      <c r="H241" s="8" t="inlineStr">
        <is>
          <t>Hero 在 SB 面对加注的继续参与比例</t>
        </is>
      </c>
      <c r="I241" s="8" t="inlineStr">
        <is>
          <t>SB 面对加注继续次数 / SB 面对加注次数</t>
        </is>
      </c>
      <c r="J241" s="8" t="inlineStr">
        <is>
          <t>小盲防守频率正例-小盲被加注后跟或再加除以小盲被加注次数</t>
        </is>
      </c>
      <c r="K241" s="9" t="inlineStr">
        <is>
          <t>正例</t>
        </is>
      </c>
      <c r="L241" s="8" t="inlineStr">
        <is>
          <t>1、已登录，当前用户是 Hero。只用正例场。
2、素材里分子次数=a，分母次数=b，「小盲防守频率」应对=a/b</t>
        </is>
      </c>
      <c r="M241" s="8" t="inlineStr">
        <is>
          <t>1、上传素材，生成复盘报告，等到能打开。
2、打开「小盲防守频率」，检查是否为a/b。</t>
        </is>
      </c>
      <c r="N241" s="8" t="inlineStr">
        <is>
          <t>小盲防守频率=a/b</t>
        </is>
      </c>
      <c r="O241" s="8" t="inlineStr">
        <is>
          <t>style_profile_stats.sb_defense_rate</t>
        </is>
      </c>
      <c r="P241" s="10" t="inlineStr">
        <is>
          <t>未执行</t>
        </is>
      </c>
      <c r="Q241" s="10" t="inlineStr"/>
      <c r="R241" s="11" t="inlineStr"/>
    </row>
    <row r="242" ht="72" customHeight="1">
      <c r="A242" s="5" t="inlineStr">
        <is>
          <t>TC-RPT-238</t>
        </is>
      </c>
      <c r="B242" s="5" t="inlineStr">
        <is>
          <t>sb_defense_rate</t>
        </is>
      </c>
      <c r="C242" s="5" t="inlineStr">
        <is>
          <t>小盲防守频率</t>
        </is>
      </c>
      <c r="D242" s="14" t="inlineStr">
        <is>
          <t>P2</t>
        </is>
      </c>
      <c r="E242" s="7" t="inlineStr">
        <is>
          <t>等价类划分法</t>
        </is>
      </c>
      <c r="F242" s="7" t="inlineStr">
        <is>
          <t>打法画像</t>
        </is>
      </c>
      <c r="G242" s="7" t="inlineStr">
        <is>
          <t>内部</t>
        </is>
      </c>
      <c r="H242" s="8" t="inlineStr">
        <is>
          <t>Hero 在 SB 面对加注的继续参与比例</t>
        </is>
      </c>
      <c r="I242" s="8" t="inlineStr">
        <is>
          <t>SB 面对加注继续次数 / SB 面对加注次数</t>
        </is>
      </c>
      <c r="J242" s="8" t="inlineStr">
        <is>
          <t>小盲防守频率反例-Hero不在小盲</t>
        </is>
      </c>
      <c r="K242" s="12" t="inlineStr">
        <is>
          <t>反例</t>
        </is>
      </c>
      <c r="L242" s="8" t="inlineStr">
        <is>
          <t>1、已登录，当前用户是 Hero。准备下列不该计入的素材。
2、Hero不在小盲位却被算进小盲防守，「小盲防守频率」仍=a/b</t>
        </is>
      </c>
      <c r="M242" s="8" t="inlineStr">
        <is>
          <t>1、上传素材，生成复盘报告，等到能打开。
2、打开「小盲防守频率」，检查是否为a/b。</t>
        </is>
      </c>
      <c r="N242" s="8" t="inlineStr">
        <is>
          <t>小盲防守频率=a/b</t>
        </is>
      </c>
      <c r="O242" s="8" t="inlineStr">
        <is>
          <t>style_profile_stats.sb_defense_rate</t>
        </is>
      </c>
      <c r="P242" s="10" t="inlineStr">
        <is>
          <t>未执行</t>
        </is>
      </c>
      <c r="Q242" s="10" t="inlineStr"/>
      <c r="R242" s="11" t="inlineStr"/>
    </row>
    <row r="243" ht="72" customHeight="1">
      <c r="A243" s="5" t="inlineStr">
        <is>
          <t>TC-RPT-239</t>
        </is>
      </c>
      <c r="B243" s="5" t="inlineStr">
        <is>
          <t>sb_defense_rate</t>
        </is>
      </c>
      <c r="C243" s="5" t="inlineStr">
        <is>
          <t>小盲防守频率</t>
        </is>
      </c>
      <c r="D243" s="14" t="inlineStr">
        <is>
          <t>P2</t>
        </is>
      </c>
      <c r="E243" s="7" t="inlineStr">
        <is>
          <t>因果图法</t>
        </is>
      </c>
      <c r="F243" s="7" t="inlineStr">
        <is>
          <t>打法画像</t>
        </is>
      </c>
      <c r="G243" s="7" t="inlineStr">
        <is>
          <t>内部</t>
        </is>
      </c>
      <c r="H243" s="8" t="inlineStr">
        <is>
          <t>Hero 在 SB 面对加注的继续参与比例</t>
        </is>
      </c>
      <c r="I243" s="8" t="inlineStr">
        <is>
          <t>SB 面对加注继续次数 / SB 面对加注次数</t>
        </is>
      </c>
      <c r="J243" s="8" t="inlineStr">
        <is>
          <t>小盲防守频率正例-小盲被加注后弃牌</t>
        </is>
      </c>
      <c r="K243" s="9" t="inlineStr">
        <is>
          <t>正例</t>
        </is>
      </c>
      <c r="L243" s="8" t="inlineStr">
        <is>
          <t>1、已登录，当前用户是 Hero。
2、Hero坐小盲被加注后弃牌。这手分母加1，分子不加
3、手算分子=a、分母=b，「小盲防守频率」应为=a/b</t>
        </is>
      </c>
      <c r="M243" s="8" t="inlineStr">
        <is>
          <t>1、上传素材，生成复盘报告，等到能打开。
2、打开「小盲防守频率」，检查是否为a/b。</t>
        </is>
      </c>
      <c r="N243" s="8" t="inlineStr">
        <is>
          <t>小盲防守频率=a/b</t>
        </is>
      </c>
      <c r="O243" s="8" t="inlineStr">
        <is>
          <t>style_profile_stats.sb_defense_rate</t>
        </is>
      </c>
      <c r="P243" s="10" t="inlineStr">
        <is>
          <t>未执行</t>
        </is>
      </c>
      <c r="Q243" s="10" t="inlineStr"/>
      <c r="R243" s="11" t="inlineStr"/>
    </row>
    <row r="244" ht="72" customHeight="1">
      <c r="A244" s="5" t="inlineStr">
        <is>
          <t>TC-RPT-240</t>
        </is>
      </c>
      <c r="B244" s="5" t="inlineStr">
        <is>
          <t>sb_defense_rate</t>
        </is>
      </c>
      <c r="C244" s="5" t="inlineStr">
        <is>
          <t>小盲防守频率</t>
        </is>
      </c>
      <c r="D244" s="14" t="inlineStr">
        <is>
          <t>P2</t>
        </is>
      </c>
      <c r="E244" s="7" t="inlineStr">
        <is>
          <t>边界值分析法</t>
        </is>
      </c>
      <c r="F244" s="7" t="inlineStr">
        <is>
          <t>打法画像</t>
        </is>
      </c>
      <c r="G244" s="7" t="inlineStr">
        <is>
          <t>内部</t>
        </is>
      </c>
      <c r="H244" s="8" t="inlineStr">
        <is>
          <t>Hero 在 SB 面对加注的继续参与比例</t>
        </is>
      </c>
      <c r="I244" s="8" t="inlineStr">
        <is>
          <t>SB 面对加注继续次数 / SB 面对加注次数</t>
        </is>
      </c>
      <c r="J244" s="8" t="inlineStr">
        <is>
          <t>小盲防守频率反例-分母为0字段不出现</t>
        </is>
      </c>
      <c r="K244" s="12" t="inlineStr">
        <is>
          <t>反例</t>
        </is>
      </c>
      <c r="L244" s="8" t="inlineStr">
        <is>
          <t>1、已登录，当前用户是 Hero。
2、没有在 SB 被加注。「小盲防守频率」应为空或不出现，不能写成 0% 或 100%。</t>
        </is>
      </c>
      <c r="M244" s="8" t="inlineStr">
        <is>
          <t>1、上传素材，生成复盘报告，等到能打开。
2、打开「小盲防守频率」，检查是否为空或不出现。</t>
        </is>
      </c>
      <c r="N244" s="8" t="inlineStr">
        <is>
          <t>小盲防守频率为空或不出现</t>
        </is>
      </c>
      <c r="O244" s="8" t="inlineStr">
        <is>
          <t>style_profile_stats.sb_defense_rate</t>
        </is>
      </c>
      <c r="P244" s="10" t="inlineStr">
        <is>
          <t>未执行</t>
        </is>
      </c>
      <c r="Q244" s="10" t="inlineStr"/>
      <c r="R244" s="11" t="inlineStr"/>
    </row>
    <row r="245" ht="72" customHeight="1">
      <c r="A245" s="5" t="inlineStr">
        <is>
          <t>TC-RPT-241</t>
        </is>
      </c>
      <c r="B245" s="5" t="inlineStr">
        <is>
          <t>sb_defense_rate</t>
        </is>
      </c>
      <c r="C245" s="5" t="inlineStr">
        <is>
          <t>小盲防守频率</t>
        </is>
      </c>
      <c r="D245" s="14" t="inlineStr">
        <is>
          <t>P2</t>
        </is>
      </c>
      <c r="E245" s="7" t="inlineStr">
        <is>
          <t>边界值分析法</t>
        </is>
      </c>
      <c r="F245" s="7" t="inlineStr">
        <is>
          <t>打法画像</t>
        </is>
      </c>
      <c r="G245" s="7" t="inlineStr">
        <is>
          <t>内部</t>
        </is>
      </c>
      <c r="H245" s="8" t="inlineStr">
        <is>
          <t>Hero 在 SB 面对加注的继续参与比例</t>
        </is>
      </c>
      <c r="I245" s="8" t="inlineStr">
        <is>
          <t>SB 面对加注继续次数 / SB 面对加注次数</t>
        </is>
      </c>
      <c r="J245" s="8" t="inlineStr">
        <is>
          <t>小盲防守频率正例-单位与换算正确</t>
        </is>
      </c>
      <c r="K245" s="9" t="inlineStr">
        <is>
          <t>正例</t>
        </is>
      </c>
      <c r="L245" s="8" t="inlineStr">
        <is>
          <t>1、已登录，当前用户是 Hero。
2、各手筹码和大盲已记下，按该手换算后「小盲防守频率」=n</t>
        </is>
      </c>
      <c r="M245" s="8" t="inlineStr">
        <is>
          <t>1、上传素材，生成复盘报告，等到能打开。
2、打开「小盲防守频率」，检查是否为n。</t>
        </is>
      </c>
      <c r="N245" s="8" t="inlineStr">
        <is>
          <t>小盲防守频率=n</t>
        </is>
      </c>
      <c r="O245" s="8" t="inlineStr">
        <is>
          <t>style_profile_stats.sb_defense_rate</t>
        </is>
      </c>
      <c r="P245" s="10" t="inlineStr">
        <is>
          <t>未执行</t>
        </is>
      </c>
      <c r="Q245" s="10" t="inlineStr"/>
      <c r="R245" s="11" t="inlineStr"/>
    </row>
    <row r="246" ht="72" customHeight="1">
      <c r="A246" s="5" t="inlineStr">
        <is>
          <t>TC-RPT-242</t>
        </is>
      </c>
      <c r="B246" s="5" t="inlineStr">
        <is>
          <t>cbet_flop_rate</t>
        </is>
      </c>
      <c r="C246" s="5" t="inlineStr">
        <is>
          <t>翻牌持续下注率</t>
        </is>
      </c>
      <c r="D246" s="13" t="inlineStr">
        <is>
          <t>P1</t>
        </is>
      </c>
      <c r="E246" s="7" t="inlineStr">
        <is>
          <t>等价类划分法</t>
        </is>
      </c>
      <c r="F246" s="7" t="inlineStr">
        <is>
          <t>打法画像</t>
        </is>
      </c>
      <c r="G246" s="7" t="inlineStr">
        <is>
          <t>内部</t>
        </is>
      </c>
      <c r="H246" s="8" t="inlineStr">
        <is>
          <t>翻前主动者在翻牌延续下注的比例</t>
        </is>
      </c>
      <c r="I246" s="8" t="inlineStr">
        <is>
          <t>作为翻前主动者（加注raise），翻牌下注次数 / 可 c-bet 次数</t>
        </is>
      </c>
      <c r="J246" s="8" t="inlineStr">
        <is>
          <t>翻牌持续下注率正例-翻前加注后进翻牌下注除以可持续下注次数</t>
        </is>
      </c>
      <c r="K246" s="9" t="inlineStr">
        <is>
          <t>正例</t>
        </is>
      </c>
      <c r="L246" s="8" t="inlineStr">
        <is>
          <t>1、已登录，当前用户是 Hero。只用正例场。
2、素材里分子次数=a，分母次数=b，「翻牌持续下注率」应对=a/b</t>
        </is>
      </c>
      <c r="M246" s="8" t="inlineStr">
        <is>
          <t>1、上传素材，生成复盘报告，等到能打开。
2、打开「翻牌持续下注率」，检查是否为a/b。</t>
        </is>
      </c>
      <c r="N246" s="8" t="inlineStr">
        <is>
          <t>翻牌持续下注率=a/b</t>
        </is>
      </c>
      <c r="O246" s="8" t="inlineStr">
        <is>
          <t>style_profile_stats.cbet_flop_rate</t>
        </is>
      </c>
      <c r="P246" s="10" t="inlineStr">
        <is>
          <t>未执行</t>
        </is>
      </c>
      <c r="Q246" s="10" t="inlineStr"/>
      <c r="R246" s="11" t="inlineStr"/>
    </row>
    <row r="247" ht="72" customHeight="1">
      <c r="A247" s="5" t="inlineStr">
        <is>
          <t>TC-RPT-243</t>
        </is>
      </c>
      <c r="B247" s="5" t="inlineStr">
        <is>
          <t>cbet_flop_rate</t>
        </is>
      </c>
      <c r="C247" s="5" t="inlineStr">
        <is>
          <t>翻牌持续下注率</t>
        </is>
      </c>
      <c r="D247" s="13" t="inlineStr">
        <is>
          <t>P1</t>
        </is>
      </c>
      <c r="E247" s="7" t="inlineStr">
        <is>
          <t>等价类划分法</t>
        </is>
      </c>
      <c r="F247" s="7" t="inlineStr">
        <is>
          <t>打法画像</t>
        </is>
      </c>
      <c r="G247" s="7" t="inlineStr">
        <is>
          <t>内部</t>
        </is>
      </c>
      <c r="H247" s="8" t="inlineStr">
        <is>
          <t>翻前主动者在翻牌延续下注的比例</t>
        </is>
      </c>
      <c r="I247" s="8" t="inlineStr">
        <is>
          <t>作为翻前主动者（加注raise），翻牌下注次数 / 可 c-bet 次数</t>
        </is>
      </c>
      <c r="J247" s="8" t="inlineStr">
        <is>
          <t>翻牌持续下注率反例-翻前只跟翻牌再下注</t>
        </is>
      </c>
      <c r="K247" s="12" t="inlineStr">
        <is>
          <t>反例</t>
        </is>
      </c>
      <c r="L247" s="8" t="inlineStr">
        <is>
          <t>1、已登录，当前用户是 Hero。准备下列不该计入的素材。
2、Hero翻前只跟注，翻牌自己先下注。不是翻前加注后进翻牌下注，「翻牌持续下注率」仍=a/b</t>
        </is>
      </c>
      <c r="M247" s="8" t="inlineStr">
        <is>
          <t>1、上传素材，生成复盘报告，等到能打开。
2、打开「翻牌持续下注率」，检查是否为a/b。</t>
        </is>
      </c>
      <c r="N247" s="8" t="inlineStr">
        <is>
          <t>翻牌持续下注率=a/b</t>
        </is>
      </c>
      <c r="O247" s="8" t="inlineStr">
        <is>
          <t>style_profile_stats.cbet_flop_rate</t>
        </is>
      </c>
      <c r="P247" s="10" t="inlineStr">
        <is>
          <t>未执行</t>
        </is>
      </c>
      <c r="Q247" s="10" t="inlineStr"/>
      <c r="R247" s="11" t="inlineStr"/>
    </row>
    <row r="248" ht="72" customHeight="1">
      <c r="A248" s="5" t="inlineStr">
        <is>
          <t>TC-RPT-244</t>
        </is>
      </c>
      <c r="B248" s="5" t="inlineStr">
        <is>
          <t>cbet_flop_rate</t>
        </is>
      </c>
      <c r="C248" s="5" t="inlineStr">
        <is>
          <t>翻牌持续下注率</t>
        </is>
      </c>
      <c r="D248" s="13" t="inlineStr">
        <is>
          <t>P1</t>
        </is>
      </c>
      <c r="E248" s="7" t="inlineStr">
        <is>
          <t>因果图法</t>
        </is>
      </c>
      <c r="F248" s="7" t="inlineStr">
        <is>
          <t>打法画像</t>
        </is>
      </c>
      <c r="G248" s="7" t="inlineStr">
        <is>
          <t>内部</t>
        </is>
      </c>
      <c r="H248" s="8" t="inlineStr">
        <is>
          <t>翻前主动者在翻牌延续下注的比例</t>
        </is>
      </c>
      <c r="I248" s="8" t="inlineStr">
        <is>
          <t>作为翻前主动者（加注raise），翻牌下注次数 / 可 c-bet 次数</t>
        </is>
      </c>
      <c r="J248" s="8" t="inlineStr">
        <is>
          <t>翻牌持续下注率正例-翻前加注后进翻牌过牌</t>
        </is>
      </c>
      <c r="K248" s="9" t="inlineStr">
        <is>
          <t>正例</t>
        </is>
      </c>
      <c r="L248" s="8" t="inlineStr">
        <is>
          <t>1、已登录，当前用户是 Hero。
2、Hero翻前加注后进翻牌，翻牌过牌。这手分母加1，分子不加
3、手算分子=a、分母=b，「翻牌持续下注率」应为=a/b</t>
        </is>
      </c>
      <c r="M248" s="8" t="inlineStr">
        <is>
          <t>1、上传素材，生成复盘报告，等到能打开。
2、打开「翻牌持续下注率」，检查是否为a/b。</t>
        </is>
      </c>
      <c r="N248" s="8" t="inlineStr">
        <is>
          <t>翻牌持续下注率=a/b</t>
        </is>
      </c>
      <c r="O248" s="8" t="inlineStr">
        <is>
          <t>style_profile_stats.cbet_flop_rate</t>
        </is>
      </c>
      <c r="P248" s="10" t="inlineStr">
        <is>
          <t>未执行</t>
        </is>
      </c>
      <c r="Q248" s="10" t="inlineStr"/>
      <c r="R248" s="11" t="inlineStr"/>
    </row>
    <row r="249" ht="72" customHeight="1">
      <c r="A249" s="5" t="inlineStr">
        <is>
          <t>TC-RPT-245</t>
        </is>
      </c>
      <c r="B249" s="5" t="inlineStr">
        <is>
          <t>cbet_flop_rate</t>
        </is>
      </c>
      <c r="C249" s="5" t="inlineStr">
        <is>
          <t>翻牌持续下注率</t>
        </is>
      </c>
      <c r="D249" s="13" t="inlineStr">
        <is>
          <t>P1</t>
        </is>
      </c>
      <c r="E249" s="7" t="inlineStr">
        <is>
          <t>边界值分析法</t>
        </is>
      </c>
      <c r="F249" s="7" t="inlineStr">
        <is>
          <t>打法画像</t>
        </is>
      </c>
      <c r="G249" s="7" t="inlineStr">
        <is>
          <t>内部</t>
        </is>
      </c>
      <c r="H249" s="8" t="inlineStr">
        <is>
          <t>翻前主动者在翻牌延续下注的比例</t>
        </is>
      </c>
      <c r="I249" s="8" t="inlineStr">
        <is>
          <t>作为翻前主动者（加注raise），翻牌下注次数 / 可 c-bet 次数</t>
        </is>
      </c>
      <c r="J249" s="8" t="inlineStr">
        <is>
          <t>翻牌持续下注率反例-分母为0字段不出现</t>
        </is>
      </c>
      <c r="K249" s="12" t="inlineStr">
        <is>
          <t>反例</t>
        </is>
      </c>
      <c r="L249" s="8" t="inlineStr">
        <is>
          <t>1、已登录，当前用户是 Hero。
2、Hero 本场从未作为翻前主动者看到 flop。「翻牌持续下注率」应为空或不出现，不能写成 0% 或 100%。</t>
        </is>
      </c>
      <c r="M249" s="8" t="inlineStr">
        <is>
          <t>1、上传素材，生成复盘报告，等到能打开。
2、打开「翻牌持续下注率」，检查是否为空或不出现。</t>
        </is>
      </c>
      <c r="N249" s="8" t="inlineStr">
        <is>
          <t>翻牌持续下注率为空或不出现</t>
        </is>
      </c>
      <c r="O249" s="8" t="inlineStr">
        <is>
          <t>style_profile_stats.cbet_flop_rate</t>
        </is>
      </c>
      <c r="P249" s="10" t="inlineStr">
        <is>
          <t>未执行</t>
        </is>
      </c>
      <c r="Q249" s="10" t="inlineStr"/>
      <c r="R249" s="11" t="inlineStr"/>
    </row>
    <row r="250" ht="72" customHeight="1">
      <c r="A250" s="5" t="inlineStr">
        <is>
          <t>TC-RPT-246</t>
        </is>
      </c>
      <c r="B250" s="5" t="inlineStr">
        <is>
          <t>cbet_flop_rate</t>
        </is>
      </c>
      <c r="C250" s="5" t="inlineStr">
        <is>
          <t>翻牌持续下注率</t>
        </is>
      </c>
      <c r="D250" s="13" t="inlineStr">
        <is>
          <t>P1</t>
        </is>
      </c>
      <c r="E250" s="7" t="inlineStr">
        <is>
          <t>边界值分析法</t>
        </is>
      </c>
      <c r="F250" s="7" t="inlineStr">
        <is>
          <t>打法画像</t>
        </is>
      </c>
      <c r="G250" s="7" t="inlineStr">
        <is>
          <t>内部</t>
        </is>
      </c>
      <c r="H250" s="8" t="inlineStr">
        <is>
          <t>翻前主动者在翻牌延续下注的比例</t>
        </is>
      </c>
      <c r="I250" s="8" t="inlineStr">
        <is>
          <t>作为翻前主动者（加注raise），翻牌下注次数 / 可 c-bet 次数</t>
        </is>
      </c>
      <c r="J250" s="8" t="inlineStr">
        <is>
          <t>翻牌持续下注率正例-单位与换算正确</t>
        </is>
      </c>
      <c r="K250" s="9" t="inlineStr">
        <is>
          <t>正例</t>
        </is>
      </c>
      <c r="L250" s="8" t="inlineStr">
        <is>
          <t>1、已登录，当前用户是 Hero。
2、各手筹码和大盲已记下，按该手换算后「翻牌持续下注率」=n</t>
        </is>
      </c>
      <c r="M250" s="8" t="inlineStr">
        <is>
          <t>1、上传素材，生成复盘报告，等到能打开。
2、打开「翻牌持续下注率」，检查是否为n。</t>
        </is>
      </c>
      <c r="N250" s="8" t="inlineStr">
        <is>
          <t>翻牌持续下注率=n</t>
        </is>
      </c>
      <c r="O250" s="8" t="inlineStr">
        <is>
          <t>style_profile_stats.cbet_flop_rate</t>
        </is>
      </c>
      <c r="P250" s="10" t="inlineStr">
        <is>
          <t>未执行</t>
        </is>
      </c>
      <c r="Q250" s="10" t="inlineStr"/>
      <c r="R250" s="11" t="inlineStr"/>
    </row>
    <row r="251" ht="72" customHeight="1">
      <c r="A251" s="5" t="inlineStr">
        <is>
          <t>TC-RPT-247</t>
        </is>
      </c>
      <c r="B251" s="5" t="inlineStr">
        <is>
          <t>turn_barrel_rate</t>
        </is>
      </c>
      <c r="C251" s="5" t="inlineStr">
        <is>
          <t>转牌继续下注率</t>
        </is>
      </c>
      <c r="D251" s="14" t="inlineStr">
        <is>
          <t>P2</t>
        </is>
      </c>
      <c r="E251" s="7" t="inlineStr">
        <is>
          <t>等价类划分法</t>
        </is>
      </c>
      <c r="F251" s="7" t="inlineStr">
        <is>
          <t>打法画像</t>
        </is>
      </c>
      <c r="G251" s="7" t="inlineStr">
        <is>
          <t>内部</t>
        </is>
      </c>
      <c r="H251" s="8" t="inlineStr">
        <is>
          <t>Hero 翻牌下注后转牌继续施压比例</t>
        </is>
      </c>
      <c r="I251" s="8" t="inlineStr">
        <is>
          <t>翻牌下注后转牌继续下注次数 / 可继续下注次数</t>
        </is>
      </c>
      <c r="J251" s="8" t="inlineStr">
        <is>
          <t>转牌继续下注率正例-翻牌下注后转牌再下注除以可转牌下注次数</t>
        </is>
      </c>
      <c r="K251" s="9" t="inlineStr">
        <is>
          <t>正例</t>
        </is>
      </c>
      <c r="L251" s="8" t="inlineStr">
        <is>
          <t>1、已登录，当前用户是 Hero。只用正例场。
2、素材里分子次数=a，分母次数=b，「转牌继续下注率」应对=a/b</t>
        </is>
      </c>
      <c r="M251" s="8" t="inlineStr">
        <is>
          <t>1、上传素材，生成复盘报告，等到能打开。
2、打开「转牌继续下注率」，检查是否为a/b。</t>
        </is>
      </c>
      <c r="N251" s="8" t="inlineStr">
        <is>
          <t>转牌继续下注率=a/b</t>
        </is>
      </c>
      <c r="O251" s="8" t="inlineStr">
        <is>
          <t>style_profile_stats.turn_barrel_rate</t>
        </is>
      </c>
      <c r="P251" s="10" t="inlineStr">
        <is>
          <t>未执行</t>
        </is>
      </c>
      <c r="Q251" s="10" t="inlineStr"/>
      <c r="R251" s="11" t="inlineStr"/>
    </row>
    <row r="252" ht="72" customHeight="1">
      <c r="A252" s="5" t="inlineStr">
        <is>
          <t>TC-RPT-248</t>
        </is>
      </c>
      <c r="B252" s="5" t="inlineStr">
        <is>
          <t>turn_barrel_rate</t>
        </is>
      </c>
      <c r="C252" s="5" t="inlineStr">
        <is>
          <t>转牌继续下注率</t>
        </is>
      </c>
      <c r="D252" s="14" t="inlineStr">
        <is>
          <t>P2</t>
        </is>
      </c>
      <c r="E252" s="7" t="inlineStr">
        <is>
          <t>等价类划分法</t>
        </is>
      </c>
      <c r="F252" s="7" t="inlineStr">
        <is>
          <t>打法画像</t>
        </is>
      </c>
      <c r="G252" s="7" t="inlineStr">
        <is>
          <t>内部</t>
        </is>
      </c>
      <c r="H252" s="8" t="inlineStr">
        <is>
          <t>Hero 翻牌下注后转牌继续施压比例</t>
        </is>
      </c>
      <c r="I252" s="8" t="inlineStr">
        <is>
          <t>翻牌下注后转牌继续下注次数 / 可继续下注次数</t>
        </is>
      </c>
      <c r="J252" s="8" t="inlineStr">
        <is>
          <t>转牌继续下注率反例-翻牌没过牌转牌才下注</t>
        </is>
      </c>
      <c r="K252" s="12" t="inlineStr">
        <is>
          <t>反例</t>
        </is>
      </c>
      <c r="L252" s="8" t="inlineStr">
        <is>
          <t>1、已登录，当前用户是 Hero。准备下列不该计入的素材。
2、Hero翻牌没过牌，转牌才第一次下注，「转牌继续下注率」仍=a/b</t>
        </is>
      </c>
      <c r="M252" s="8" t="inlineStr">
        <is>
          <t>1、上传素材，生成复盘报告，等到能打开。
2、打开「转牌继续下注率」，检查是否为a/b。</t>
        </is>
      </c>
      <c r="N252" s="8" t="inlineStr">
        <is>
          <t>转牌继续下注率=a/b</t>
        </is>
      </c>
      <c r="O252" s="8" t="inlineStr">
        <is>
          <t>style_profile_stats.turn_barrel_rate</t>
        </is>
      </c>
      <c r="P252" s="10" t="inlineStr">
        <is>
          <t>未执行</t>
        </is>
      </c>
      <c r="Q252" s="10" t="inlineStr"/>
      <c r="R252" s="11" t="inlineStr"/>
    </row>
    <row r="253" ht="72" customHeight="1">
      <c r="A253" s="5" t="inlineStr">
        <is>
          <t>TC-RPT-249</t>
        </is>
      </c>
      <c r="B253" s="5" t="inlineStr">
        <is>
          <t>turn_barrel_rate</t>
        </is>
      </c>
      <c r="C253" s="5" t="inlineStr">
        <is>
          <t>转牌继续下注率</t>
        </is>
      </c>
      <c r="D253" s="14" t="inlineStr">
        <is>
          <t>P2</t>
        </is>
      </c>
      <c r="E253" s="7" t="inlineStr">
        <is>
          <t>因果图法</t>
        </is>
      </c>
      <c r="F253" s="7" t="inlineStr">
        <is>
          <t>打法画像</t>
        </is>
      </c>
      <c r="G253" s="7" t="inlineStr">
        <is>
          <t>内部</t>
        </is>
      </c>
      <c r="H253" s="8" t="inlineStr">
        <is>
          <t>Hero 翻牌下注后转牌继续施压比例</t>
        </is>
      </c>
      <c r="I253" s="8" t="inlineStr">
        <is>
          <t>翻牌下注后转牌继续下注次数 / 可继续下注次数</t>
        </is>
      </c>
      <c r="J253" s="8" t="inlineStr">
        <is>
          <t>转牌继续下注率正例-翻牌下注后转牌过牌</t>
        </is>
      </c>
      <c r="K253" s="9" t="inlineStr">
        <is>
          <t>正例</t>
        </is>
      </c>
      <c r="L253" s="8" t="inlineStr">
        <is>
          <t>1、已登录，当前用户是 Hero。
2、Hero翻牌下注后转牌过牌。这手分母加1，分子不加
3、手算分子=a、分母=b，「转牌继续下注率」应为=a/b</t>
        </is>
      </c>
      <c r="M253" s="8" t="inlineStr">
        <is>
          <t>1、上传素材，生成复盘报告，等到能打开。
2、打开「转牌继续下注率」，检查是否为a/b。</t>
        </is>
      </c>
      <c r="N253" s="8" t="inlineStr">
        <is>
          <t>转牌继续下注率=a/b</t>
        </is>
      </c>
      <c r="O253" s="8" t="inlineStr">
        <is>
          <t>style_profile_stats.turn_barrel_rate</t>
        </is>
      </c>
      <c r="P253" s="10" t="inlineStr">
        <is>
          <t>未执行</t>
        </is>
      </c>
      <c r="Q253" s="10" t="inlineStr"/>
      <c r="R253" s="11" t="inlineStr"/>
    </row>
    <row r="254" ht="72" customHeight="1">
      <c r="A254" s="5" t="inlineStr">
        <is>
          <t>TC-RPT-250</t>
        </is>
      </c>
      <c r="B254" s="5" t="inlineStr">
        <is>
          <t>turn_barrel_rate</t>
        </is>
      </c>
      <c r="C254" s="5" t="inlineStr">
        <is>
          <t>转牌继续下注率</t>
        </is>
      </c>
      <c r="D254" s="14" t="inlineStr">
        <is>
          <t>P2</t>
        </is>
      </c>
      <c r="E254" s="7" t="inlineStr">
        <is>
          <t>边界值分析法</t>
        </is>
      </c>
      <c r="F254" s="7" t="inlineStr">
        <is>
          <t>打法画像</t>
        </is>
      </c>
      <c r="G254" s="7" t="inlineStr">
        <is>
          <t>内部</t>
        </is>
      </c>
      <c r="H254" s="8" t="inlineStr">
        <is>
          <t>Hero 翻牌下注后转牌继续施压比例</t>
        </is>
      </c>
      <c r="I254" s="8" t="inlineStr">
        <is>
          <t>翻牌下注后转牌继续下注次数 / 可继续下注次数</t>
        </is>
      </c>
      <c r="J254" s="8" t="inlineStr">
        <is>
          <t>转牌继续下注率反例-分母为0字段不出现</t>
        </is>
      </c>
      <c r="K254" s="12" t="inlineStr">
        <is>
          <t>反例</t>
        </is>
      </c>
      <c r="L254" s="8" t="inlineStr">
        <is>
          <t>1、已登录，当前用户是 Hero。
2、没有「翻牌已 bet 且看到转牌」的手。「转牌继续下注率」应为空或不出现，不能写成 0% 或 100%。</t>
        </is>
      </c>
      <c r="M254" s="8" t="inlineStr">
        <is>
          <t>1、上传素材，生成复盘报告，等到能打开。
2、打开「转牌继续下注率」，检查是否为空或不出现。</t>
        </is>
      </c>
      <c r="N254" s="8" t="inlineStr">
        <is>
          <t>转牌继续下注率为空或不出现</t>
        </is>
      </c>
      <c r="O254" s="8" t="inlineStr">
        <is>
          <t>style_profile_stats.turn_barrel_rate</t>
        </is>
      </c>
      <c r="P254" s="10" t="inlineStr">
        <is>
          <t>未执行</t>
        </is>
      </c>
      <c r="Q254" s="10" t="inlineStr"/>
      <c r="R254" s="11" t="inlineStr"/>
    </row>
    <row r="255" ht="72" customHeight="1">
      <c r="A255" s="5" t="inlineStr">
        <is>
          <t>TC-RPT-251</t>
        </is>
      </c>
      <c r="B255" s="5" t="inlineStr">
        <is>
          <t>turn_barrel_rate</t>
        </is>
      </c>
      <c r="C255" s="5" t="inlineStr">
        <is>
          <t>转牌继续下注率</t>
        </is>
      </c>
      <c r="D255" s="14" t="inlineStr">
        <is>
          <t>P2</t>
        </is>
      </c>
      <c r="E255" s="7" t="inlineStr">
        <is>
          <t>边界值分析法</t>
        </is>
      </c>
      <c r="F255" s="7" t="inlineStr">
        <is>
          <t>打法画像</t>
        </is>
      </c>
      <c r="G255" s="7" t="inlineStr">
        <is>
          <t>内部</t>
        </is>
      </c>
      <c r="H255" s="8" t="inlineStr">
        <is>
          <t>Hero 翻牌下注后转牌继续施压比例</t>
        </is>
      </c>
      <c r="I255" s="8" t="inlineStr">
        <is>
          <t>翻牌下注后转牌继续下注次数 / 可继续下注次数</t>
        </is>
      </c>
      <c r="J255" s="8" t="inlineStr">
        <is>
          <t>转牌继续下注率正例-单位与换算正确</t>
        </is>
      </c>
      <c r="K255" s="9" t="inlineStr">
        <is>
          <t>正例</t>
        </is>
      </c>
      <c r="L255" s="8" t="inlineStr">
        <is>
          <t>1、已登录，当前用户是 Hero。
2、各手筹码和大盲已记下，按该手换算后「转牌继续下注率」=n</t>
        </is>
      </c>
      <c r="M255" s="8" t="inlineStr">
        <is>
          <t>1、上传素材，生成复盘报告，等到能打开。
2、打开「转牌继续下注率」，检查是否为n。</t>
        </is>
      </c>
      <c r="N255" s="8" t="inlineStr">
        <is>
          <t>转牌继续下注率=n</t>
        </is>
      </c>
      <c r="O255" s="8" t="inlineStr">
        <is>
          <t>style_profile_stats.turn_barrel_rate</t>
        </is>
      </c>
      <c r="P255" s="10" t="inlineStr">
        <is>
          <t>未执行</t>
        </is>
      </c>
      <c r="Q255" s="10" t="inlineStr"/>
      <c r="R255" s="11" t="inlineStr"/>
    </row>
    <row r="256" ht="72" customHeight="1">
      <c r="A256" s="5" t="inlineStr">
        <is>
          <t>TC-RPT-252</t>
        </is>
      </c>
      <c r="B256" s="5" t="inlineStr">
        <is>
          <t>river_bet_rate</t>
        </is>
      </c>
      <c r="C256" s="5" t="inlineStr">
        <is>
          <t>河牌下注率</t>
        </is>
      </c>
      <c r="D256" s="14" t="inlineStr">
        <is>
          <t>P2</t>
        </is>
      </c>
      <c r="E256" s="7" t="inlineStr">
        <is>
          <t>等价类划分法</t>
        </is>
      </c>
      <c r="F256" s="7" t="inlineStr">
        <is>
          <t>打法画像</t>
        </is>
      </c>
      <c r="G256" s="7" t="inlineStr">
        <is>
          <t>内部</t>
        </is>
      </c>
      <c r="H256" s="8" t="inlineStr">
        <is>
          <t>Hero 河牌下注倾向</t>
        </is>
      </c>
      <c r="I256" s="8" t="inlineStr">
        <is>
          <t>河牌下注次数 / 河牌可行动次数</t>
        </is>
      </c>
      <c r="J256" s="8" t="inlineStr">
        <is>
          <t>河牌下注率正例-河牌主动下注除以河牌可行动次数</t>
        </is>
      </c>
      <c r="K256" s="9" t="inlineStr">
        <is>
          <t>正例</t>
        </is>
      </c>
      <c r="L256" s="8" t="inlineStr">
        <is>
          <t>1、已登录，当前用户是 Hero。只用正例场。
2、素材里分子次数=a，分母次数=b，「河牌下注率」应对=a/b</t>
        </is>
      </c>
      <c r="M256" s="8" t="inlineStr">
        <is>
          <t>1、上传素材，生成复盘报告，等到能打开。
2、打开「河牌下注率」，检查是否为a/b。</t>
        </is>
      </c>
      <c r="N256" s="8" t="inlineStr">
        <is>
          <t>河牌下注率=a/b</t>
        </is>
      </c>
      <c r="O256" s="8" t="inlineStr">
        <is>
          <t>style_profile_stats.river_bet_rate</t>
        </is>
      </c>
      <c r="P256" s="10" t="inlineStr">
        <is>
          <t>未执行</t>
        </is>
      </c>
      <c r="Q256" s="10" t="inlineStr"/>
      <c r="R256" s="11" t="inlineStr"/>
    </row>
    <row r="257" ht="72" customHeight="1">
      <c r="A257" s="5" t="inlineStr">
        <is>
          <t>TC-RPT-253</t>
        </is>
      </c>
      <c r="B257" s="5" t="inlineStr">
        <is>
          <t>river_bet_rate</t>
        </is>
      </c>
      <c r="C257" s="5" t="inlineStr">
        <is>
          <t>河牌下注率</t>
        </is>
      </c>
      <c r="D257" s="14" t="inlineStr">
        <is>
          <t>P2</t>
        </is>
      </c>
      <c r="E257" s="7" t="inlineStr">
        <is>
          <t>等价类划分法</t>
        </is>
      </c>
      <c r="F257" s="7" t="inlineStr">
        <is>
          <t>打法画像</t>
        </is>
      </c>
      <c r="G257" s="7" t="inlineStr">
        <is>
          <t>内部</t>
        </is>
      </c>
      <c r="H257" s="8" t="inlineStr">
        <is>
          <t>Hero 河牌下注倾向</t>
        </is>
      </c>
      <c r="I257" s="8" t="inlineStr">
        <is>
          <t>河牌下注次数 / 河牌可行动次数</t>
        </is>
      </c>
      <c r="J257" s="8" t="inlineStr">
        <is>
          <t>河牌下注率反例-河牌只跟注未下注</t>
        </is>
      </c>
      <c r="K257" s="12" t="inlineStr">
        <is>
          <t>反例</t>
        </is>
      </c>
      <c r="L257" s="8" t="inlineStr">
        <is>
          <t>1、已登录，当前用户是 Hero。准备下列不该计入的素材。
2、Hero河牌只跟注没有主动下注，「河牌下注率」仍=a/b</t>
        </is>
      </c>
      <c r="M257" s="8" t="inlineStr">
        <is>
          <t>1、上传素材，生成复盘报告，等到能打开。
2、打开「河牌下注率」，检查是否为a/b。</t>
        </is>
      </c>
      <c r="N257" s="8" t="inlineStr">
        <is>
          <t>河牌下注率=a/b</t>
        </is>
      </c>
      <c r="O257" s="8" t="inlineStr">
        <is>
          <t>style_profile_stats.river_bet_rate</t>
        </is>
      </c>
      <c r="P257" s="10" t="inlineStr">
        <is>
          <t>未执行</t>
        </is>
      </c>
      <c r="Q257" s="10" t="inlineStr"/>
      <c r="R257" s="11" t="inlineStr"/>
    </row>
    <row r="258" ht="72" customHeight="1">
      <c r="A258" s="5" t="inlineStr">
        <is>
          <t>TC-RPT-254</t>
        </is>
      </c>
      <c r="B258" s="5" t="inlineStr">
        <is>
          <t>river_bet_rate</t>
        </is>
      </c>
      <c r="C258" s="5" t="inlineStr">
        <is>
          <t>河牌下注率</t>
        </is>
      </c>
      <c r="D258" s="14" t="inlineStr">
        <is>
          <t>P2</t>
        </is>
      </c>
      <c r="E258" s="7" t="inlineStr">
        <is>
          <t>因果图法</t>
        </is>
      </c>
      <c r="F258" s="7" t="inlineStr">
        <is>
          <t>打法画像</t>
        </is>
      </c>
      <c r="G258" s="7" t="inlineStr">
        <is>
          <t>内部</t>
        </is>
      </c>
      <c r="H258" s="8" t="inlineStr">
        <is>
          <t>Hero 河牌下注倾向</t>
        </is>
      </c>
      <c r="I258" s="8" t="inlineStr">
        <is>
          <t>河牌下注次数 / 河牌可行动次数</t>
        </is>
      </c>
      <c r="J258" s="8" t="inlineStr">
        <is>
          <t>河牌下注率正例-到河牌过牌或弃牌</t>
        </is>
      </c>
      <c r="K258" s="9" t="inlineStr">
        <is>
          <t>正例</t>
        </is>
      </c>
      <c r="L258" s="8" t="inlineStr">
        <is>
          <t>1、已登录，当前用户是 Hero。
2、到河牌，Hero过牌或弃牌。这手分母加1，分子不加
3、手算分子=a、分母=b，「河牌下注率」应为=a/b</t>
        </is>
      </c>
      <c r="M258" s="8" t="inlineStr">
        <is>
          <t>1、上传素材，生成复盘报告，等到能打开。
2、打开「河牌下注率」，检查是否为a/b。</t>
        </is>
      </c>
      <c r="N258" s="8" t="inlineStr">
        <is>
          <t>河牌下注率=a/b</t>
        </is>
      </c>
      <c r="O258" s="8" t="inlineStr">
        <is>
          <t>style_profile_stats.river_bet_rate</t>
        </is>
      </c>
      <c r="P258" s="10" t="inlineStr">
        <is>
          <t>未执行</t>
        </is>
      </c>
      <c r="Q258" s="10" t="inlineStr"/>
      <c r="R258" s="11" t="inlineStr"/>
    </row>
    <row r="259" ht="72" customHeight="1">
      <c r="A259" s="5" t="inlineStr">
        <is>
          <t>TC-RPT-255</t>
        </is>
      </c>
      <c r="B259" s="5" t="inlineStr">
        <is>
          <t>river_bet_rate</t>
        </is>
      </c>
      <c r="C259" s="5" t="inlineStr">
        <is>
          <t>河牌下注率</t>
        </is>
      </c>
      <c r="D259" s="14" t="inlineStr">
        <is>
          <t>P2</t>
        </is>
      </c>
      <c r="E259" s="7" t="inlineStr">
        <is>
          <t>边界值分析法</t>
        </is>
      </c>
      <c r="F259" s="7" t="inlineStr">
        <is>
          <t>打法画像</t>
        </is>
      </c>
      <c r="G259" s="7" t="inlineStr">
        <is>
          <t>内部</t>
        </is>
      </c>
      <c r="H259" s="8" t="inlineStr">
        <is>
          <t>Hero 河牌下注倾向</t>
        </is>
      </c>
      <c r="I259" s="8" t="inlineStr">
        <is>
          <t>河牌下注次数 / 河牌可行动次数</t>
        </is>
      </c>
      <c r="J259" s="8" t="inlineStr">
        <is>
          <t>河牌下注率反例-分母为0字段不出现</t>
        </is>
      </c>
      <c r="K259" s="12" t="inlineStr">
        <is>
          <t>反例</t>
        </is>
      </c>
      <c r="L259" s="8" t="inlineStr">
        <is>
          <t>1、已登录，当前用户是 Hero。
2、没有河牌可行动。「河牌下注率」应为空或不出现，不能写成 0% 或 100%。</t>
        </is>
      </c>
      <c r="M259" s="8" t="inlineStr">
        <is>
          <t>1、上传素材，生成复盘报告，等到能打开。
2、打开「河牌下注率」，检查是否为空或不出现。</t>
        </is>
      </c>
      <c r="N259" s="8" t="inlineStr">
        <is>
          <t>河牌下注率为空或不出现</t>
        </is>
      </c>
      <c r="O259" s="8" t="inlineStr">
        <is>
          <t>style_profile_stats.river_bet_rate</t>
        </is>
      </c>
      <c r="P259" s="10" t="inlineStr">
        <is>
          <t>未执行</t>
        </is>
      </c>
      <c r="Q259" s="10" t="inlineStr"/>
      <c r="R259" s="11" t="inlineStr"/>
    </row>
    <row r="260" ht="72" customHeight="1">
      <c r="A260" s="5" t="inlineStr">
        <is>
          <t>TC-RPT-256</t>
        </is>
      </c>
      <c r="B260" s="5" t="inlineStr">
        <is>
          <t>river_bet_rate</t>
        </is>
      </c>
      <c r="C260" s="5" t="inlineStr">
        <is>
          <t>河牌下注率</t>
        </is>
      </c>
      <c r="D260" s="14" t="inlineStr">
        <is>
          <t>P2</t>
        </is>
      </c>
      <c r="E260" s="7" t="inlineStr">
        <is>
          <t>边界值分析法</t>
        </is>
      </c>
      <c r="F260" s="7" t="inlineStr">
        <is>
          <t>打法画像</t>
        </is>
      </c>
      <c r="G260" s="7" t="inlineStr">
        <is>
          <t>内部</t>
        </is>
      </c>
      <c r="H260" s="8" t="inlineStr">
        <is>
          <t>Hero 河牌下注倾向</t>
        </is>
      </c>
      <c r="I260" s="8" t="inlineStr">
        <is>
          <t>河牌下注次数 / 河牌可行动次数</t>
        </is>
      </c>
      <c r="J260" s="8" t="inlineStr">
        <is>
          <t>河牌下注率正例-单位与换算正确</t>
        </is>
      </c>
      <c r="K260" s="9" t="inlineStr">
        <is>
          <t>正例</t>
        </is>
      </c>
      <c r="L260" s="8" t="inlineStr">
        <is>
          <t>1、已登录，当前用户是 Hero。
2、各手筹码和大盲已记下，按该手换算后「河牌下注率」=n</t>
        </is>
      </c>
      <c r="M260" s="8" t="inlineStr">
        <is>
          <t>1、上传素材，生成复盘报告，等到能打开。
2、打开「河牌下注率」，检查是否为n。</t>
        </is>
      </c>
      <c r="N260" s="8" t="inlineStr">
        <is>
          <t>河牌下注率=n</t>
        </is>
      </c>
      <c r="O260" s="8" t="inlineStr">
        <is>
          <t>style_profile_stats.river_bet_rate</t>
        </is>
      </c>
      <c r="P260" s="10" t="inlineStr">
        <is>
          <t>未执行</t>
        </is>
      </c>
      <c r="Q260" s="10" t="inlineStr"/>
      <c r="R260" s="11" t="inlineStr"/>
    </row>
    <row r="261" ht="72" customHeight="1">
      <c r="A261" s="5" t="inlineStr">
        <is>
          <t>TC-RPT-257</t>
        </is>
      </c>
      <c r="B261" s="5" t="inlineStr">
        <is>
          <t>river_call_vs_raise_rate</t>
        </is>
      </c>
      <c r="C261" s="5" t="inlineStr">
        <is>
          <t>河牌面对加注跟注率</t>
        </is>
      </c>
      <c r="D261" s="13" t="inlineStr">
        <is>
          <t>P1</t>
        </is>
      </c>
      <c r="E261" s="7" t="inlineStr">
        <is>
          <t>等价类划分法</t>
        </is>
      </c>
      <c r="F261" s="7" t="inlineStr">
        <is>
          <t>打法画像</t>
        </is>
      </c>
      <c r="G261" s="7" t="inlineStr">
        <is>
          <t>内部</t>
        </is>
      </c>
      <c r="H261" s="8" t="inlineStr">
        <is>
          <t>Hero 河牌被加注后的跟注倾向</t>
        </is>
      </c>
      <c r="I261" s="8" t="inlineStr">
        <is>
          <t>河牌被加注后 call 次数 / 河牌被加注次数</t>
        </is>
      </c>
      <c r="J261" s="8" t="inlineStr">
        <is>
          <t>河牌面对加注跟注率正例-河牌被再加注后跟注除以河牌被再加注次数</t>
        </is>
      </c>
      <c r="K261" s="9" t="inlineStr">
        <is>
          <t>正例</t>
        </is>
      </c>
      <c r="L261" s="8" t="inlineStr">
        <is>
          <t>1、已登录，当前用户是 Hero。只用正例场。
2、素材里分子次数=a，分母次数=b，「河牌面对加注跟注率」应对=a/b</t>
        </is>
      </c>
      <c r="M261" s="8" t="inlineStr">
        <is>
          <t>1、上传素材，生成复盘报告，等到能打开。
2、打开「河牌面对加注跟注率」，检查是否为a/b。</t>
        </is>
      </c>
      <c r="N261" s="8" t="inlineStr">
        <is>
          <t>河牌面对加注跟注率=a/b</t>
        </is>
      </c>
      <c r="O261" s="8" t="inlineStr">
        <is>
          <t>style_profile_stats.river_call_vs_raise_rate</t>
        </is>
      </c>
      <c r="P261" s="10" t="inlineStr">
        <is>
          <t>未执行</t>
        </is>
      </c>
      <c r="Q261" s="10" t="inlineStr"/>
      <c r="R261" s="11" t="inlineStr"/>
    </row>
    <row r="262" ht="72" customHeight="1">
      <c r="A262" s="5" t="inlineStr">
        <is>
          <t>TC-RPT-258</t>
        </is>
      </c>
      <c r="B262" s="5" t="inlineStr">
        <is>
          <t>river_call_vs_raise_rate</t>
        </is>
      </c>
      <c r="C262" s="5" t="inlineStr">
        <is>
          <t>河牌面对加注跟注率</t>
        </is>
      </c>
      <c r="D262" s="13" t="inlineStr">
        <is>
          <t>P1</t>
        </is>
      </c>
      <c r="E262" s="7" t="inlineStr">
        <is>
          <t>等价类划分法</t>
        </is>
      </c>
      <c r="F262" s="7" t="inlineStr">
        <is>
          <t>打法画像</t>
        </is>
      </c>
      <c r="G262" s="7" t="inlineStr">
        <is>
          <t>内部</t>
        </is>
      </c>
      <c r="H262" s="8" t="inlineStr">
        <is>
          <t>Hero 河牌被加注后的跟注倾向</t>
        </is>
      </c>
      <c r="I262" s="8" t="inlineStr">
        <is>
          <t>河牌被加注后 call 次数 / 河牌被加注次数</t>
        </is>
      </c>
      <c r="J262" s="8" t="inlineStr">
        <is>
          <t>河牌面对加注跟注率反例-河牌面对下注后跟注</t>
        </is>
      </c>
      <c r="K262" s="12" t="inlineStr">
        <is>
          <t>反例</t>
        </is>
      </c>
      <c r="L262" s="8" t="inlineStr">
        <is>
          <t>1、已登录，当前用户是 Hero。准备下列不该计入的素材。
2、Hero河牌面对下注后跟注。不是面对再加注后跟，「河牌面对加注跟注率」仍=a/b</t>
        </is>
      </c>
      <c r="M262" s="8" t="inlineStr">
        <is>
          <t>1、上传素材，生成复盘报告，等到能打开。
2、打开「河牌面对加注跟注率」，检查是否为a/b。</t>
        </is>
      </c>
      <c r="N262" s="8" t="inlineStr">
        <is>
          <t>河牌面对加注跟注率=a/b</t>
        </is>
      </c>
      <c r="O262" s="8" t="inlineStr">
        <is>
          <t>style_profile_stats.river_call_vs_raise_rate</t>
        </is>
      </c>
      <c r="P262" s="10" t="inlineStr">
        <is>
          <t>未执行</t>
        </is>
      </c>
      <c r="Q262" s="10" t="inlineStr"/>
      <c r="R262" s="11" t="inlineStr"/>
    </row>
    <row r="263" ht="72" customHeight="1">
      <c r="A263" s="5" t="inlineStr">
        <is>
          <t>TC-RPT-259</t>
        </is>
      </c>
      <c r="B263" s="5" t="inlineStr">
        <is>
          <t>river_call_vs_raise_rate</t>
        </is>
      </c>
      <c r="C263" s="5" t="inlineStr">
        <is>
          <t>河牌面对加注跟注率</t>
        </is>
      </c>
      <c r="D263" s="13" t="inlineStr">
        <is>
          <t>P1</t>
        </is>
      </c>
      <c r="E263" s="7" t="inlineStr">
        <is>
          <t>因果图法</t>
        </is>
      </c>
      <c r="F263" s="7" t="inlineStr">
        <is>
          <t>打法画像</t>
        </is>
      </c>
      <c r="G263" s="7" t="inlineStr">
        <is>
          <t>内部</t>
        </is>
      </c>
      <c r="H263" s="8" t="inlineStr">
        <is>
          <t>Hero 河牌被加注后的跟注倾向</t>
        </is>
      </c>
      <c r="I263" s="8" t="inlineStr">
        <is>
          <t>河牌被加注后 call 次数 / 河牌被加注次数</t>
        </is>
      </c>
      <c r="J263" s="8" t="inlineStr">
        <is>
          <t>河牌面对加注跟注率正例-河牌被再加注后弃牌</t>
        </is>
      </c>
      <c r="K263" s="9" t="inlineStr">
        <is>
          <t>正例</t>
        </is>
      </c>
      <c r="L263" s="8" t="inlineStr">
        <is>
          <t>1、已登录，当前用户是 Hero。
2、河牌被再加注，Hero弃牌。这手分母加1，分子不加
3、手算分子=a、分母=b，「河牌面对加注跟注率」应为=a/b</t>
        </is>
      </c>
      <c r="M263" s="8" t="inlineStr">
        <is>
          <t>1、上传素材，生成复盘报告，等到能打开。
2、打开「河牌面对加注跟注率」，检查是否为a/b。</t>
        </is>
      </c>
      <c r="N263" s="8" t="inlineStr">
        <is>
          <t>河牌面对加注跟注率=a/b</t>
        </is>
      </c>
      <c r="O263" s="8" t="inlineStr">
        <is>
          <t>style_profile_stats.river_call_vs_raise_rate</t>
        </is>
      </c>
      <c r="P263" s="10" t="inlineStr">
        <is>
          <t>未执行</t>
        </is>
      </c>
      <c r="Q263" s="10" t="inlineStr"/>
      <c r="R263" s="11" t="inlineStr"/>
    </row>
    <row r="264" ht="72" customHeight="1">
      <c r="A264" s="5" t="inlineStr">
        <is>
          <t>TC-RPT-260</t>
        </is>
      </c>
      <c r="B264" s="5" t="inlineStr">
        <is>
          <t>river_call_vs_raise_rate</t>
        </is>
      </c>
      <c r="C264" s="5" t="inlineStr">
        <is>
          <t>河牌面对加注跟注率</t>
        </is>
      </c>
      <c r="D264" s="13" t="inlineStr">
        <is>
          <t>P1</t>
        </is>
      </c>
      <c r="E264" s="7" t="inlineStr">
        <is>
          <t>边界值分析法</t>
        </is>
      </c>
      <c r="F264" s="7" t="inlineStr">
        <is>
          <t>打法画像</t>
        </is>
      </c>
      <c r="G264" s="7" t="inlineStr">
        <is>
          <t>内部</t>
        </is>
      </c>
      <c r="H264" s="8" t="inlineStr">
        <is>
          <t>Hero 河牌被加注后的跟注倾向</t>
        </is>
      </c>
      <c r="I264" s="8" t="inlineStr">
        <is>
          <t>河牌被加注后 call 次数 / 河牌被加注次数</t>
        </is>
      </c>
      <c r="J264" s="8" t="inlineStr">
        <is>
          <t>河牌面对加注跟注率反例-分母为0字段不出现</t>
        </is>
      </c>
      <c r="K264" s="12" t="inlineStr">
        <is>
          <t>反例</t>
        </is>
      </c>
      <c r="L264" s="8" t="inlineStr">
        <is>
          <t>1、已登录，当前用户是 Hero。
2、河牌从未被加注。「河牌面对加注跟注率」应为空或不出现，不能写成 0% 或 100%。</t>
        </is>
      </c>
      <c r="M264" s="8" t="inlineStr">
        <is>
          <t>1、上传素材，生成复盘报告，等到能打开。
2、打开「河牌面对加注跟注率」，检查是否为空或不出现。</t>
        </is>
      </c>
      <c r="N264" s="8" t="inlineStr">
        <is>
          <t>河牌面对加注跟注率为空或不出现</t>
        </is>
      </c>
      <c r="O264" s="8" t="inlineStr">
        <is>
          <t>style_profile_stats.river_call_vs_raise_rate</t>
        </is>
      </c>
      <c r="P264" s="10" t="inlineStr">
        <is>
          <t>未执行</t>
        </is>
      </c>
      <c r="Q264" s="10" t="inlineStr"/>
      <c r="R264" s="11" t="inlineStr"/>
    </row>
    <row r="265" ht="72" customHeight="1">
      <c r="A265" s="5" t="inlineStr">
        <is>
          <t>TC-RPT-261</t>
        </is>
      </c>
      <c r="B265" s="5" t="inlineStr">
        <is>
          <t>river_call_vs_raise_rate</t>
        </is>
      </c>
      <c r="C265" s="5" t="inlineStr">
        <is>
          <t>河牌面对加注跟注率</t>
        </is>
      </c>
      <c r="D265" s="13" t="inlineStr">
        <is>
          <t>P1</t>
        </is>
      </c>
      <c r="E265" s="7" t="inlineStr">
        <is>
          <t>边界值分析法</t>
        </is>
      </c>
      <c r="F265" s="7" t="inlineStr">
        <is>
          <t>打法画像</t>
        </is>
      </c>
      <c r="G265" s="7" t="inlineStr">
        <is>
          <t>内部</t>
        </is>
      </c>
      <c r="H265" s="8" t="inlineStr">
        <is>
          <t>Hero 河牌被加注后的跟注倾向</t>
        </is>
      </c>
      <c r="I265" s="8" t="inlineStr">
        <is>
          <t>河牌被加注后 call 次数 / 河牌被加注次数</t>
        </is>
      </c>
      <c r="J265" s="8" t="inlineStr">
        <is>
          <t>河牌面对加注跟注率正例-单位与换算正确</t>
        </is>
      </c>
      <c r="K265" s="9" t="inlineStr">
        <is>
          <t>正例</t>
        </is>
      </c>
      <c r="L265" s="8" t="inlineStr">
        <is>
          <t>1、已登录，当前用户是 Hero。
2、各手筹码和大盲已记下，按该手换算后「河牌面对加注跟注率」=n</t>
        </is>
      </c>
      <c r="M265" s="8" t="inlineStr">
        <is>
          <t>1、上传素材，生成复盘报告，等到能打开。
2、打开「河牌面对加注跟注率」，检查是否为n。</t>
        </is>
      </c>
      <c r="N265" s="8" t="inlineStr">
        <is>
          <t>河牌面对加注跟注率=n</t>
        </is>
      </c>
      <c r="O265" s="8" t="inlineStr">
        <is>
          <t>style_profile_stats.river_call_vs_raise_rate</t>
        </is>
      </c>
      <c r="P265" s="10" t="inlineStr">
        <is>
          <t>未执行</t>
        </is>
      </c>
      <c r="Q265" s="10" t="inlineStr"/>
      <c r="R265" s="11" t="inlineStr"/>
    </row>
    <row r="266" ht="72" customHeight="1">
      <c r="A266" s="5" t="inlineStr">
        <is>
          <t>TC-RPT-262</t>
        </is>
      </c>
      <c r="B266" s="5" t="inlineStr">
        <is>
          <t>postflop_call_rate</t>
        </is>
      </c>
      <c r="C266" s="5" t="inlineStr">
        <is>
          <t>翻后跟注率</t>
        </is>
      </c>
      <c r="D266" s="13" t="inlineStr">
        <is>
          <t>P1</t>
        </is>
      </c>
      <c r="E266" s="7" t="inlineStr">
        <is>
          <t>等价类划分法</t>
        </is>
      </c>
      <c r="F266" s="7" t="inlineStr">
        <is>
          <t>打法画像</t>
        </is>
      </c>
      <c r="G266" s="7" t="inlineStr">
        <is>
          <t>内部</t>
        </is>
      </c>
      <c r="H266" s="8" t="inlineStr">
        <is>
          <t>Hero 翻后被动防守倾向</t>
        </is>
      </c>
      <c r="I266" s="8" t="inlineStr">
        <is>
          <t>翻后 call 次数 / 翻后面对下注次数</t>
        </is>
      </c>
      <c r="J266" s="8" t="inlineStr">
        <is>
          <t>翻后跟注率正例-翻后面对下注跟注除以面对下注次数</t>
        </is>
      </c>
      <c r="K266" s="9" t="inlineStr">
        <is>
          <t>正例</t>
        </is>
      </c>
      <c r="L266" s="8" t="inlineStr">
        <is>
          <t>1、已登录，当前用户是 Hero。只用正例场。
2、素材里分子次数=a，分母次数=b，「翻后跟注率」应对=a/b</t>
        </is>
      </c>
      <c r="M266" s="8" t="inlineStr">
        <is>
          <t>1、上传素材，生成复盘报告，等到能打开。
2、打开「翻后跟注率」，检查是否为a/b。</t>
        </is>
      </c>
      <c r="N266" s="8" t="inlineStr">
        <is>
          <t>翻后跟注率=a/b</t>
        </is>
      </c>
      <c r="O266" s="8" t="inlineStr">
        <is>
          <t>style_profile_stats.postflop_call_rate</t>
        </is>
      </c>
      <c r="P266" s="10" t="inlineStr">
        <is>
          <t>未执行</t>
        </is>
      </c>
      <c r="Q266" s="10" t="inlineStr"/>
      <c r="R266" s="11" t="inlineStr"/>
    </row>
    <row r="267" ht="72" customHeight="1">
      <c r="A267" s="5" t="inlineStr">
        <is>
          <t>TC-RPT-263</t>
        </is>
      </c>
      <c r="B267" s="5" t="inlineStr">
        <is>
          <t>postflop_call_rate</t>
        </is>
      </c>
      <c r="C267" s="5" t="inlineStr">
        <is>
          <t>翻后跟注率</t>
        </is>
      </c>
      <c r="D267" s="13" t="inlineStr">
        <is>
          <t>P1</t>
        </is>
      </c>
      <c r="E267" s="7" t="inlineStr">
        <is>
          <t>等价类划分法</t>
        </is>
      </c>
      <c r="F267" s="7" t="inlineStr">
        <is>
          <t>打法画像</t>
        </is>
      </c>
      <c r="G267" s="7" t="inlineStr">
        <is>
          <t>内部</t>
        </is>
      </c>
      <c r="H267" s="8" t="inlineStr">
        <is>
          <t>Hero 翻后被动防守倾向</t>
        </is>
      </c>
      <c r="I267" s="8" t="inlineStr">
        <is>
          <t>翻后 call 次数 / 翻后面对下注次数</t>
        </is>
      </c>
      <c r="J267" s="8" t="inlineStr">
        <is>
          <t>翻后跟注率反例-只在翻前跟注</t>
        </is>
      </c>
      <c r="K267" s="12" t="inlineStr">
        <is>
          <t>反例</t>
        </is>
      </c>
      <c r="L267" s="8" t="inlineStr">
        <is>
          <t>1、已登录，当前用户是 Hero。准备下列不该计入的素材。
2、Hero只在翻前跟注，翻后没有面对下注跟注，「翻后跟注率」仍=a/b</t>
        </is>
      </c>
      <c r="M267" s="8" t="inlineStr">
        <is>
          <t>1、上传素材，生成复盘报告，等到能打开。
2、打开「翻后跟注率」，检查是否为a/b。</t>
        </is>
      </c>
      <c r="N267" s="8" t="inlineStr">
        <is>
          <t>翻后跟注率=a/b</t>
        </is>
      </c>
      <c r="O267" s="8" t="inlineStr">
        <is>
          <t>style_profile_stats.postflop_call_rate</t>
        </is>
      </c>
      <c r="P267" s="10" t="inlineStr">
        <is>
          <t>未执行</t>
        </is>
      </c>
      <c r="Q267" s="10" t="inlineStr"/>
      <c r="R267" s="11" t="inlineStr"/>
    </row>
    <row r="268" ht="72" customHeight="1">
      <c r="A268" s="5" t="inlineStr">
        <is>
          <t>TC-RPT-264</t>
        </is>
      </c>
      <c r="B268" s="5" t="inlineStr">
        <is>
          <t>postflop_call_rate</t>
        </is>
      </c>
      <c r="C268" s="5" t="inlineStr">
        <is>
          <t>翻后跟注率</t>
        </is>
      </c>
      <c r="D268" s="13" t="inlineStr">
        <is>
          <t>P1</t>
        </is>
      </c>
      <c r="E268" s="7" t="inlineStr">
        <is>
          <t>因果图法</t>
        </is>
      </c>
      <c r="F268" s="7" t="inlineStr">
        <is>
          <t>打法画像</t>
        </is>
      </c>
      <c r="G268" s="7" t="inlineStr">
        <is>
          <t>内部</t>
        </is>
      </c>
      <c r="H268" s="8" t="inlineStr">
        <is>
          <t>Hero 翻后被动防守倾向</t>
        </is>
      </c>
      <c r="I268" s="8" t="inlineStr">
        <is>
          <t>翻后 call 次数 / 翻后面对下注次数</t>
        </is>
      </c>
      <c r="J268" s="8" t="inlineStr">
        <is>
          <t>翻后跟注率正例-翻后面对下注弃牌或加注</t>
        </is>
      </c>
      <c r="K268" s="9" t="inlineStr">
        <is>
          <t>正例</t>
        </is>
      </c>
      <c r="L268" s="8" t="inlineStr">
        <is>
          <t>1、已登录，当前用户是 Hero。
2、翻后面对下注，Hero弃牌或加注。这次分母加1，分子不加
3、手算分子=a、分母=b，「翻后跟注率」应为=a/b</t>
        </is>
      </c>
      <c r="M268" s="8" t="inlineStr">
        <is>
          <t>1、上传素材，生成复盘报告，等到能打开。
2、打开「翻后跟注率」，检查是否为a/b。</t>
        </is>
      </c>
      <c r="N268" s="8" t="inlineStr">
        <is>
          <t>翻后跟注率=a/b</t>
        </is>
      </c>
      <c r="O268" s="8" t="inlineStr">
        <is>
          <t>style_profile_stats.postflop_call_rate</t>
        </is>
      </c>
      <c r="P268" s="10" t="inlineStr">
        <is>
          <t>未执行</t>
        </is>
      </c>
      <c r="Q268" s="10" t="inlineStr"/>
      <c r="R268" s="11" t="inlineStr"/>
    </row>
    <row r="269" ht="72" customHeight="1">
      <c r="A269" s="5" t="inlineStr">
        <is>
          <t>TC-RPT-265</t>
        </is>
      </c>
      <c r="B269" s="5" t="inlineStr">
        <is>
          <t>postflop_call_rate</t>
        </is>
      </c>
      <c r="C269" s="5" t="inlineStr">
        <is>
          <t>翻后跟注率</t>
        </is>
      </c>
      <c r="D269" s="13" t="inlineStr">
        <is>
          <t>P1</t>
        </is>
      </c>
      <c r="E269" s="7" t="inlineStr">
        <is>
          <t>边界值分析法</t>
        </is>
      </c>
      <c r="F269" s="7" t="inlineStr">
        <is>
          <t>打法画像</t>
        </is>
      </c>
      <c r="G269" s="7" t="inlineStr">
        <is>
          <t>内部</t>
        </is>
      </c>
      <c r="H269" s="8" t="inlineStr">
        <is>
          <t>Hero 翻后被动防守倾向</t>
        </is>
      </c>
      <c r="I269" s="8" t="inlineStr">
        <is>
          <t>翻后 call 次数 / 翻后面对下注次数</t>
        </is>
      </c>
      <c r="J269" s="8" t="inlineStr">
        <is>
          <t>翻后跟注率反例-分母为0字段不出现</t>
        </is>
      </c>
      <c r="K269" s="12" t="inlineStr">
        <is>
          <t>反例</t>
        </is>
      </c>
      <c r="L269" s="8" t="inlineStr">
        <is>
          <t>1、已登录，当前用户是 Hero。
2、翻后从未面对下注。「翻后跟注率」应为空或不出现，不能写成 0% 或 100%。</t>
        </is>
      </c>
      <c r="M269" s="8" t="inlineStr">
        <is>
          <t>1、上传素材，生成复盘报告，等到能打开。
2、打开「翻后跟注率」，检查是否为空或不出现。</t>
        </is>
      </c>
      <c r="N269" s="8" t="inlineStr">
        <is>
          <t>翻后跟注率为空或不出现</t>
        </is>
      </c>
      <c r="O269" s="8" t="inlineStr">
        <is>
          <t>style_profile_stats.postflop_call_rate</t>
        </is>
      </c>
      <c r="P269" s="10" t="inlineStr">
        <is>
          <t>未执行</t>
        </is>
      </c>
      <c r="Q269" s="10" t="inlineStr"/>
      <c r="R269" s="11" t="inlineStr"/>
    </row>
    <row r="270" ht="72" customHeight="1">
      <c r="A270" s="5" t="inlineStr">
        <is>
          <t>TC-RPT-266</t>
        </is>
      </c>
      <c r="B270" s="5" t="inlineStr">
        <is>
          <t>postflop_call_rate</t>
        </is>
      </c>
      <c r="C270" s="5" t="inlineStr">
        <is>
          <t>翻后跟注率</t>
        </is>
      </c>
      <c r="D270" s="13" t="inlineStr">
        <is>
          <t>P1</t>
        </is>
      </c>
      <c r="E270" s="7" t="inlineStr">
        <is>
          <t>边界值分析法</t>
        </is>
      </c>
      <c r="F270" s="7" t="inlineStr">
        <is>
          <t>打法画像</t>
        </is>
      </c>
      <c r="G270" s="7" t="inlineStr">
        <is>
          <t>内部</t>
        </is>
      </c>
      <c r="H270" s="8" t="inlineStr">
        <is>
          <t>Hero 翻后被动防守倾向</t>
        </is>
      </c>
      <c r="I270" s="8" t="inlineStr">
        <is>
          <t>翻后 call 次数 / 翻后面对下注次数</t>
        </is>
      </c>
      <c r="J270" s="8" t="inlineStr">
        <is>
          <t>翻后跟注率正例-单位与换算正确</t>
        </is>
      </c>
      <c r="K270" s="9" t="inlineStr">
        <is>
          <t>正例</t>
        </is>
      </c>
      <c r="L270" s="8" t="inlineStr">
        <is>
          <t>1、已登录，当前用户是 Hero。
2、各手筹码和大盲已记下，按该手换算后「翻后跟注率」=n</t>
        </is>
      </c>
      <c r="M270" s="8" t="inlineStr">
        <is>
          <t>1、上传素材，生成复盘报告，等到能打开。
2、打开「翻后跟注率」，检查是否为n。</t>
        </is>
      </c>
      <c r="N270" s="8" t="inlineStr">
        <is>
          <t>翻后跟注率=n</t>
        </is>
      </c>
      <c r="O270" s="8" t="inlineStr">
        <is>
          <t>style_profile_stats.postflop_call_rate</t>
        </is>
      </c>
      <c r="P270" s="10" t="inlineStr">
        <is>
          <t>未执行</t>
        </is>
      </c>
      <c r="Q270" s="10" t="inlineStr"/>
      <c r="R270" s="11" t="inlineStr"/>
    </row>
    <row r="271" ht="72" customHeight="1">
      <c r="A271" s="5" t="inlineStr">
        <is>
          <t>TC-RPT-267</t>
        </is>
      </c>
      <c r="B271" s="5" t="inlineStr">
        <is>
          <t>postflop_call_rate</t>
        </is>
      </c>
      <c r="C271" s="5" t="inlineStr">
        <is>
          <t>翻后跟注率</t>
        </is>
      </c>
      <c r="D271" s="13" t="inlineStr">
        <is>
          <t>P1</t>
        </is>
      </c>
      <c r="E271" s="7" t="inlineStr">
        <is>
          <t>场景设计法</t>
        </is>
      </c>
      <c r="F271" s="7" t="inlineStr">
        <is>
          <t>打法画像</t>
        </is>
      </c>
      <c r="G271" s="7" t="inlineStr">
        <is>
          <t>内部</t>
        </is>
      </c>
      <c r="H271" s="8" t="inlineStr">
        <is>
          <t>Hero 翻后被动防守倾向</t>
        </is>
      </c>
      <c r="I271" s="8" t="inlineStr">
        <is>
          <t>翻后 call 次数 / 翻后面对下注次数</t>
        </is>
      </c>
      <c r="J271" s="8" t="inlineStr">
        <is>
          <t>翻后跟注率正例-翻牌面对下注选择跟注</t>
        </is>
      </c>
      <c r="K271" s="9" t="inlineStr">
        <is>
          <t>正例</t>
        </is>
      </c>
      <c r="L271" s="8" t="inlineStr">
        <is>
          <t>1、已登录，当前用户是 Hero。
2、素材里翻后面对下注次数=b，跟注次数=a（含翻牌跟注），「翻后跟注率」应对=a/b</t>
        </is>
      </c>
      <c r="M271" s="8" t="inlineStr">
        <is>
          <t>1、上传素材，生成复盘报告，等到能打开。
2、打开「翻后跟注率」，检查是否为a/b。</t>
        </is>
      </c>
      <c r="N271" s="8" t="inlineStr">
        <is>
          <t>翻后跟注率=a/b</t>
        </is>
      </c>
      <c r="O271" s="8" t="inlineStr">
        <is>
          <t>style_profile_stats.postflop_call_rate</t>
        </is>
      </c>
      <c r="P271" s="10" t="inlineStr">
        <is>
          <t>未执行</t>
        </is>
      </c>
      <c r="Q271" s="10" t="inlineStr"/>
      <c r="R271" s="11" t="inlineStr"/>
    </row>
    <row r="272" ht="72" customHeight="1">
      <c r="A272" s="5" t="inlineStr">
        <is>
          <t>TC-RPT-268</t>
        </is>
      </c>
      <c r="B272" s="5" t="inlineStr">
        <is>
          <t>postflop_call_rate</t>
        </is>
      </c>
      <c r="C272" s="5" t="inlineStr">
        <is>
          <t>翻后跟注率</t>
        </is>
      </c>
      <c r="D272" s="13" t="inlineStr">
        <is>
          <t>P1</t>
        </is>
      </c>
      <c r="E272" s="7" t="inlineStr">
        <is>
          <t>场景设计法</t>
        </is>
      </c>
      <c r="F272" s="7" t="inlineStr">
        <is>
          <t>打法画像</t>
        </is>
      </c>
      <c r="G272" s="7" t="inlineStr">
        <is>
          <t>内部</t>
        </is>
      </c>
      <c r="H272" s="8" t="inlineStr">
        <is>
          <t>Hero 翻后被动防守倾向</t>
        </is>
      </c>
      <c r="I272" s="8" t="inlineStr">
        <is>
          <t>翻后 call 次数 / 翻后面对下注次数</t>
        </is>
      </c>
      <c r="J272" s="8" t="inlineStr">
        <is>
          <t>翻后跟注率正例-转牌面对下注选择跟注</t>
        </is>
      </c>
      <c r="K272" s="9" t="inlineStr">
        <is>
          <t>正例</t>
        </is>
      </c>
      <c r="L272" s="8" t="inlineStr">
        <is>
          <t>1、已登录，当前用户是 Hero。
2、素材含一手：转牌面对下注选择跟注。该次计入分子，翻后跟注率=a/b</t>
        </is>
      </c>
      <c r="M272" s="8" t="inlineStr">
        <is>
          <t>1、上传素材，生成复盘报告，等到能打开。
2、打开「翻后跟注率」，检查是否为a/b。</t>
        </is>
      </c>
      <c r="N272" s="8" t="inlineStr">
        <is>
          <t>翻后跟注率=a/b</t>
        </is>
      </c>
      <c r="O272" s="8" t="inlineStr">
        <is>
          <t>style_profile_stats.postflop_call_rate</t>
        </is>
      </c>
      <c r="P272" s="10" t="inlineStr">
        <is>
          <t>未执行</t>
        </is>
      </c>
      <c r="Q272" s="10" t="inlineStr"/>
      <c r="R272" s="11" t="inlineStr"/>
    </row>
    <row r="273" ht="72" customHeight="1">
      <c r="A273" s="5" t="inlineStr">
        <is>
          <t>TC-RPT-269</t>
        </is>
      </c>
      <c r="B273" s="5" t="inlineStr">
        <is>
          <t>postflop_call_rate</t>
        </is>
      </c>
      <c r="C273" s="5" t="inlineStr">
        <is>
          <t>翻后跟注率</t>
        </is>
      </c>
      <c r="D273" s="13" t="inlineStr">
        <is>
          <t>P1</t>
        </is>
      </c>
      <c r="E273" s="7" t="inlineStr">
        <is>
          <t>场景设计法</t>
        </is>
      </c>
      <c r="F273" s="7" t="inlineStr">
        <is>
          <t>打法画像</t>
        </is>
      </c>
      <c r="G273" s="7" t="inlineStr">
        <is>
          <t>内部</t>
        </is>
      </c>
      <c r="H273" s="8" t="inlineStr">
        <is>
          <t>Hero 翻后被动防守倾向</t>
        </is>
      </c>
      <c r="I273" s="8" t="inlineStr">
        <is>
          <t>翻后 call 次数 / 翻后面对下注次数</t>
        </is>
      </c>
      <c r="J273" s="8" t="inlineStr">
        <is>
          <t>翻后跟注率正例-河牌面对下注选择跟注</t>
        </is>
      </c>
      <c r="K273" s="9" t="inlineStr">
        <is>
          <t>正例</t>
        </is>
      </c>
      <c r="L273" s="8" t="inlineStr">
        <is>
          <t>1、已登录，当前用户是 Hero。
2、素材含一手：河牌面对下注选择跟注。该次计入分子，翻后跟注率=a/b</t>
        </is>
      </c>
      <c r="M273" s="8" t="inlineStr">
        <is>
          <t>1、上传素材，生成复盘报告，等到能打开。
2、打开「翻后跟注率」，检查是否为a/b。</t>
        </is>
      </c>
      <c r="N273" s="8" t="inlineStr">
        <is>
          <t>翻后跟注率=a/b</t>
        </is>
      </c>
      <c r="O273" s="8" t="inlineStr">
        <is>
          <t>style_profile_stats.postflop_call_rate</t>
        </is>
      </c>
      <c r="P273" s="10" t="inlineStr">
        <is>
          <t>未执行</t>
        </is>
      </c>
      <c r="Q273" s="10" t="inlineStr"/>
      <c r="R273" s="11" t="inlineStr"/>
    </row>
    <row r="274" ht="72" customHeight="1">
      <c r="A274" s="5" t="inlineStr">
        <is>
          <t>TC-RPT-270</t>
        </is>
      </c>
      <c r="B274" s="5" t="inlineStr">
        <is>
          <t>postflop_call_rate</t>
        </is>
      </c>
      <c r="C274" s="5" t="inlineStr">
        <is>
          <t>翻后跟注率</t>
        </is>
      </c>
      <c r="D274" s="13" t="inlineStr">
        <is>
          <t>P1</t>
        </is>
      </c>
      <c r="E274" s="7" t="inlineStr">
        <is>
          <t>场景设计法</t>
        </is>
      </c>
      <c r="F274" s="7" t="inlineStr">
        <is>
          <t>打法画像</t>
        </is>
      </c>
      <c r="G274" s="7" t="inlineStr">
        <is>
          <t>内部</t>
        </is>
      </c>
      <c r="H274" s="8" t="inlineStr">
        <is>
          <t>Hero 翻后被动防守倾向</t>
        </is>
      </c>
      <c r="I274" s="8" t="inlineStr">
        <is>
          <t>翻后 call 次数 / 翻后面对下注次数</t>
        </is>
      </c>
      <c r="J274" s="8" t="inlineStr">
        <is>
          <t>翻后跟注率反例-只在翻前跟注</t>
        </is>
      </c>
      <c r="K274" s="12" t="inlineStr">
        <is>
          <t>反例</t>
        </is>
      </c>
      <c r="L274" s="8" t="inlineStr">
        <is>
          <t>1、已登录，当前用户是 Hero。
2、素材含一手：Hero只在翻前跟注，翻后没有面对下注。翻后跟注率分子不含这次，仍=a/b</t>
        </is>
      </c>
      <c r="M274" s="8" t="inlineStr">
        <is>
          <t>1、上传素材，生成复盘报告，等到能打开。
2、打开「翻后跟注率」，检查是否为a/b。</t>
        </is>
      </c>
      <c r="N274" s="8" t="inlineStr">
        <is>
          <t>翻后跟注率=a/b</t>
        </is>
      </c>
      <c r="O274" s="8" t="inlineStr">
        <is>
          <t>style_profile_stats.postflop_call_rate</t>
        </is>
      </c>
      <c r="P274" s="10" t="inlineStr">
        <is>
          <t>未执行</t>
        </is>
      </c>
      <c r="Q274" s="10" t="inlineStr"/>
      <c r="R274" s="11" t="inlineStr"/>
    </row>
    <row r="275" ht="72" customHeight="1">
      <c r="A275" s="5" t="inlineStr">
        <is>
          <t>TC-RPT-271</t>
        </is>
      </c>
      <c r="B275" s="5" t="inlineStr">
        <is>
          <t>postflop_raise_rate</t>
        </is>
      </c>
      <c r="C275" s="5" t="inlineStr">
        <is>
          <t>翻后加注率</t>
        </is>
      </c>
      <c r="D275" s="14" t="inlineStr">
        <is>
          <t>P2</t>
        </is>
      </c>
      <c r="E275" s="7" t="inlineStr">
        <is>
          <t>等价类划分法</t>
        </is>
      </c>
      <c r="F275" s="7" t="inlineStr">
        <is>
          <t>打法画像</t>
        </is>
      </c>
      <c r="G275" s="7" t="inlineStr">
        <is>
          <t>内部</t>
        </is>
      </c>
      <c r="H275" s="8" t="inlineStr">
        <is>
          <t>Hero 翻后反击倾向</t>
        </is>
      </c>
      <c r="I275" s="8" t="inlineStr">
        <is>
          <t>翻后 raise 次数 / 翻后面对下注次数</t>
        </is>
      </c>
      <c r="J275" s="8" t="inlineStr">
        <is>
          <t>翻后加注率正例-翻后面对下注加注除以面对下注次数</t>
        </is>
      </c>
      <c r="K275" s="9" t="inlineStr">
        <is>
          <t>正例</t>
        </is>
      </c>
      <c r="L275" s="8" t="inlineStr">
        <is>
          <t>1、已登录，当前用户是 Hero。只用正例场。
2、素材里分子次数=a，分母次数=b，「翻后加注率」应对=a/b</t>
        </is>
      </c>
      <c r="M275" s="8" t="inlineStr">
        <is>
          <t>1、上传素材，生成复盘报告，等到能打开。
2、打开「翻后加注率」，检查是否为a/b。</t>
        </is>
      </c>
      <c r="N275" s="8" t="inlineStr">
        <is>
          <t>翻后加注率=a/b</t>
        </is>
      </c>
      <c r="O275" s="8" t="inlineStr">
        <is>
          <t>style_profile_stats.postflop_raise_rate</t>
        </is>
      </c>
      <c r="P275" s="10" t="inlineStr">
        <is>
          <t>未执行</t>
        </is>
      </c>
      <c r="Q275" s="10" t="inlineStr"/>
      <c r="R275" s="11" t="inlineStr"/>
    </row>
    <row r="276" ht="72" customHeight="1">
      <c r="A276" s="5" t="inlineStr">
        <is>
          <t>TC-RPT-272</t>
        </is>
      </c>
      <c r="B276" s="5" t="inlineStr">
        <is>
          <t>postflop_raise_rate</t>
        </is>
      </c>
      <c r="C276" s="5" t="inlineStr">
        <is>
          <t>翻后加注率</t>
        </is>
      </c>
      <c r="D276" s="14" t="inlineStr">
        <is>
          <t>P2</t>
        </is>
      </c>
      <c r="E276" s="7" t="inlineStr">
        <is>
          <t>等价类划分法</t>
        </is>
      </c>
      <c r="F276" s="7" t="inlineStr">
        <is>
          <t>打法画像</t>
        </is>
      </c>
      <c r="G276" s="7" t="inlineStr">
        <is>
          <t>内部</t>
        </is>
      </c>
      <c r="H276" s="8" t="inlineStr">
        <is>
          <t>Hero 翻后反击倾向</t>
        </is>
      </c>
      <c r="I276" s="8" t="inlineStr">
        <is>
          <t>翻后 raise 次数 / 翻后面对下注次数</t>
        </is>
      </c>
      <c r="J276" s="8" t="inlineStr">
        <is>
          <t>翻后加注率反例-翻牌自己先下注</t>
        </is>
      </c>
      <c r="K276" s="12" t="inlineStr">
        <is>
          <t>反例</t>
        </is>
      </c>
      <c r="L276" s="8" t="inlineStr">
        <is>
          <t>1、已登录，当前用户是 Hero。准备下列不该计入的素材。
2、Hero翻牌自己先下注。不是面对下注后加注，「翻后加注率」仍=a/b</t>
        </is>
      </c>
      <c r="M276" s="8" t="inlineStr">
        <is>
          <t>1、上传素材，生成复盘报告，等到能打开。
2、打开「翻后加注率」，检查是否为a/b。</t>
        </is>
      </c>
      <c r="N276" s="8" t="inlineStr">
        <is>
          <t>翻后加注率=a/b</t>
        </is>
      </c>
      <c r="O276" s="8" t="inlineStr">
        <is>
          <t>style_profile_stats.postflop_raise_rate</t>
        </is>
      </c>
      <c r="P276" s="10" t="inlineStr">
        <is>
          <t>未执行</t>
        </is>
      </c>
      <c r="Q276" s="10" t="inlineStr"/>
      <c r="R276" s="11" t="inlineStr"/>
    </row>
    <row r="277" ht="72" customHeight="1">
      <c r="A277" s="5" t="inlineStr">
        <is>
          <t>TC-RPT-273</t>
        </is>
      </c>
      <c r="B277" s="5" t="inlineStr">
        <is>
          <t>postflop_raise_rate</t>
        </is>
      </c>
      <c r="C277" s="5" t="inlineStr">
        <is>
          <t>翻后加注率</t>
        </is>
      </c>
      <c r="D277" s="14" t="inlineStr">
        <is>
          <t>P2</t>
        </is>
      </c>
      <c r="E277" s="7" t="inlineStr">
        <is>
          <t>因果图法</t>
        </is>
      </c>
      <c r="F277" s="7" t="inlineStr">
        <is>
          <t>打法画像</t>
        </is>
      </c>
      <c r="G277" s="7" t="inlineStr">
        <is>
          <t>内部</t>
        </is>
      </c>
      <c r="H277" s="8" t="inlineStr">
        <is>
          <t>Hero 翻后反击倾向</t>
        </is>
      </c>
      <c r="I277" s="8" t="inlineStr">
        <is>
          <t>翻后 raise 次数 / 翻后面对下注次数</t>
        </is>
      </c>
      <c r="J277" s="8" t="inlineStr">
        <is>
          <t>翻后加注率正例-翻后面对下注跟注或弃牌</t>
        </is>
      </c>
      <c r="K277" s="9" t="inlineStr">
        <is>
          <t>正例</t>
        </is>
      </c>
      <c r="L277" s="8" t="inlineStr">
        <is>
          <t>1、已登录，当前用户是 Hero。
2、翻后面对下注，Hero跟注或弃牌。这次分母加1，分子不加
3、手算分子=a、分母=b，「翻后加注率」应为=a/b</t>
        </is>
      </c>
      <c r="M277" s="8" t="inlineStr">
        <is>
          <t>1、上传素材，生成复盘报告，等到能打开。
2、打开「翻后加注率」，检查是否为a/b。</t>
        </is>
      </c>
      <c r="N277" s="8" t="inlineStr">
        <is>
          <t>翻后加注率=a/b</t>
        </is>
      </c>
      <c r="O277" s="8" t="inlineStr">
        <is>
          <t>style_profile_stats.postflop_raise_rate</t>
        </is>
      </c>
      <c r="P277" s="10" t="inlineStr">
        <is>
          <t>未执行</t>
        </is>
      </c>
      <c r="Q277" s="10" t="inlineStr"/>
      <c r="R277" s="11" t="inlineStr"/>
    </row>
    <row r="278" ht="72" customHeight="1">
      <c r="A278" s="5" t="inlineStr">
        <is>
          <t>TC-RPT-274</t>
        </is>
      </c>
      <c r="B278" s="5" t="inlineStr">
        <is>
          <t>postflop_raise_rate</t>
        </is>
      </c>
      <c r="C278" s="5" t="inlineStr">
        <is>
          <t>翻后加注率</t>
        </is>
      </c>
      <c r="D278" s="14" t="inlineStr">
        <is>
          <t>P2</t>
        </is>
      </c>
      <c r="E278" s="7" t="inlineStr">
        <is>
          <t>边界值分析法</t>
        </is>
      </c>
      <c r="F278" s="7" t="inlineStr">
        <is>
          <t>打法画像</t>
        </is>
      </c>
      <c r="G278" s="7" t="inlineStr">
        <is>
          <t>内部</t>
        </is>
      </c>
      <c r="H278" s="8" t="inlineStr">
        <is>
          <t>Hero 翻后反击倾向</t>
        </is>
      </c>
      <c r="I278" s="8" t="inlineStr">
        <is>
          <t>翻后 raise 次数 / 翻后面对下注次数</t>
        </is>
      </c>
      <c r="J278" s="8" t="inlineStr">
        <is>
          <t>翻后加注率反例-分母为0字段不出现</t>
        </is>
      </c>
      <c r="K278" s="12" t="inlineStr">
        <is>
          <t>反例</t>
        </is>
      </c>
      <c r="L278" s="8" t="inlineStr">
        <is>
          <t>1、已登录，当前用户是 Hero。
2、翻后从未面对下注。「翻后加注率」应为空或不出现，不能写成 0% 或 100%。</t>
        </is>
      </c>
      <c r="M278" s="8" t="inlineStr">
        <is>
          <t>1、上传素材，生成复盘报告，等到能打开。
2、打开「翻后加注率」，检查是否为空或不出现。</t>
        </is>
      </c>
      <c r="N278" s="8" t="inlineStr">
        <is>
          <t>翻后加注率为空或不出现</t>
        </is>
      </c>
      <c r="O278" s="8" t="inlineStr">
        <is>
          <t>style_profile_stats.postflop_raise_rate</t>
        </is>
      </c>
      <c r="P278" s="10" t="inlineStr">
        <is>
          <t>未执行</t>
        </is>
      </c>
      <c r="Q278" s="10" t="inlineStr"/>
      <c r="R278" s="11" t="inlineStr"/>
    </row>
    <row r="279" ht="72" customHeight="1">
      <c r="A279" s="5" t="inlineStr">
        <is>
          <t>TC-RPT-275</t>
        </is>
      </c>
      <c r="B279" s="5" t="inlineStr">
        <is>
          <t>postflop_raise_rate</t>
        </is>
      </c>
      <c r="C279" s="5" t="inlineStr">
        <is>
          <t>翻后加注率</t>
        </is>
      </c>
      <c r="D279" s="14" t="inlineStr">
        <is>
          <t>P2</t>
        </is>
      </c>
      <c r="E279" s="7" t="inlineStr">
        <is>
          <t>边界值分析法</t>
        </is>
      </c>
      <c r="F279" s="7" t="inlineStr">
        <is>
          <t>打法画像</t>
        </is>
      </c>
      <c r="G279" s="7" t="inlineStr">
        <is>
          <t>内部</t>
        </is>
      </c>
      <c r="H279" s="8" t="inlineStr">
        <is>
          <t>Hero 翻后反击倾向</t>
        </is>
      </c>
      <c r="I279" s="8" t="inlineStr">
        <is>
          <t>翻后 raise 次数 / 翻后面对下注次数</t>
        </is>
      </c>
      <c r="J279" s="8" t="inlineStr">
        <is>
          <t>翻后加注率正例-单位与换算正确</t>
        </is>
      </c>
      <c r="K279" s="9" t="inlineStr">
        <is>
          <t>正例</t>
        </is>
      </c>
      <c r="L279" s="8" t="inlineStr">
        <is>
          <t>1、已登录，当前用户是 Hero。
2、各手筹码和大盲已记下，按该手换算后「翻后加注率」=n</t>
        </is>
      </c>
      <c r="M279" s="8" t="inlineStr">
        <is>
          <t>1、上传素材，生成复盘报告，等到能打开。
2、打开「翻后加注率」，检查是否为n。</t>
        </is>
      </c>
      <c r="N279" s="8" t="inlineStr">
        <is>
          <t>翻后加注率=n</t>
        </is>
      </c>
      <c r="O279" s="8" t="inlineStr">
        <is>
          <t>style_profile_stats.postflop_raise_rate</t>
        </is>
      </c>
      <c r="P279" s="10" t="inlineStr">
        <is>
          <t>未执行</t>
        </is>
      </c>
      <c r="Q279" s="10" t="inlineStr"/>
      <c r="R279" s="11" t="inlineStr"/>
    </row>
    <row r="280" ht="72" customHeight="1">
      <c r="A280" s="5" t="inlineStr">
        <is>
          <t>TC-RPT-276</t>
        </is>
      </c>
      <c r="B280" s="5" t="inlineStr">
        <is>
          <t>postflop_raise_rate</t>
        </is>
      </c>
      <c r="C280" s="5" t="inlineStr">
        <is>
          <t>翻后加注率</t>
        </is>
      </c>
      <c r="D280" s="14" t="inlineStr">
        <is>
          <t>P2</t>
        </is>
      </c>
      <c r="E280" s="7" t="inlineStr">
        <is>
          <t>场景设计法</t>
        </is>
      </c>
      <c r="F280" s="7" t="inlineStr">
        <is>
          <t>打法画像</t>
        </is>
      </c>
      <c r="G280" s="7" t="inlineStr">
        <is>
          <t>内部</t>
        </is>
      </c>
      <c r="H280" s="8" t="inlineStr">
        <is>
          <t>Hero 翻后反击倾向</t>
        </is>
      </c>
      <c r="I280" s="8" t="inlineStr">
        <is>
          <t>翻后 raise 次数 / 翻后面对下注次数</t>
        </is>
      </c>
      <c r="J280" s="8" t="inlineStr">
        <is>
          <t>翻后加注率正例-翻牌面对下注后加注</t>
        </is>
      </c>
      <c r="K280" s="9" t="inlineStr">
        <is>
          <t>正例</t>
        </is>
      </c>
      <c r="L280" s="8" t="inlineStr">
        <is>
          <t>1、已登录，当前用户是 Hero。
2、素材里翻后面对下注次数=b，加注次数=a（含翻牌加注），「翻后加注率」应对=a/b</t>
        </is>
      </c>
      <c r="M280" s="8" t="inlineStr">
        <is>
          <t>1、上传素材，生成复盘报告，等到能打开。
2、打开「翻后加注率」，检查是否为a/b。</t>
        </is>
      </c>
      <c r="N280" s="8" t="inlineStr">
        <is>
          <t>翻后加注率=a/b</t>
        </is>
      </c>
      <c r="O280" s="8" t="inlineStr">
        <is>
          <t>style_profile_stats.postflop_raise_rate</t>
        </is>
      </c>
      <c r="P280" s="10" t="inlineStr">
        <is>
          <t>未执行</t>
        </is>
      </c>
      <c r="Q280" s="10" t="inlineStr"/>
      <c r="R280" s="11" t="inlineStr"/>
    </row>
    <row r="281" ht="72" customHeight="1">
      <c r="A281" s="5" t="inlineStr">
        <is>
          <t>TC-RPT-277</t>
        </is>
      </c>
      <c r="B281" s="5" t="inlineStr">
        <is>
          <t>postflop_raise_rate</t>
        </is>
      </c>
      <c r="C281" s="5" t="inlineStr">
        <is>
          <t>翻后加注率</t>
        </is>
      </c>
      <c r="D281" s="14" t="inlineStr">
        <is>
          <t>P2</t>
        </is>
      </c>
      <c r="E281" s="7" t="inlineStr">
        <is>
          <t>场景设计法</t>
        </is>
      </c>
      <c r="F281" s="7" t="inlineStr">
        <is>
          <t>打法画像</t>
        </is>
      </c>
      <c r="G281" s="7" t="inlineStr">
        <is>
          <t>内部</t>
        </is>
      </c>
      <c r="H281" s="8" t="inlineStr">
        <is>
          <t>Hero 翻后反击倾向</t>
        </is>
      </c>
      <c r="I281" s="8" t="inlineStr">
        <is>
          <t>翻后 raise 次数 / 翻后面对下注次数</t>
        </is>
      </c>
      <c r="J281" s="8" t="inlineStr">
        <is>
          <t>翻后加注率正例-转牌面对下注后加注</t>
        </is>
      </c>
      <c r="K281" s="9" t="inlineStr">
        <is>
          <t>正例</t>
        </is>
      </c>
      <c r="L281" s="8" t="inlineStr">
        <is>
          <t>1、已登录，当前用户是 Hero。
2、素材含一手：转牌面对下注选择加注。该次计入分子，翻后加注率=a/b</t>
        </is>
      </c>
      <c r="M281" s="8" t="inlineStr">
        <is>
          <t>1、上传素材，生成复盘报告，等到能打开。
2、打开「翻后加注率」，检查是否为a/b。</t>
        </is>
      </c>
      <c r="N281" s="8" t="inlineStr">
        <is>
          <t>翻后加注率=a/b</t>
        </is>
      </c>
      <c r="O281" s="8" t="inlineStr">
        <is>
          <t>style_profile_stats.postflop_raise_rate</t>
        </is>
      </c>
      <c r="P281" s="10" t="inlineStr">
        <is>
          <t>未执行</t>
        </is>
      </c>
      <c r="Q281" s="10" t="inlineStr"/>
      <c r="R281" s="11" t="inlineStr"/>
    </row>
    <row r="282" ht="72" customHeight="1">
      <c r="A282" s="5" t="inlineStr">
        <is>
          <t>TC-RPT-278</t>
        </is>
      </c>
      <c r="B282" s="5" t="inlineStr">
        <is>
          <t>postflop_raise_rate</t>
        </is>
      </c>
      <c r="C282" s="5" t="inlineStr">
        <is>
          <t>翻后加注率</t>
        </is>
      </c>
      <c r="D282" s="14" t="inlineStr">
        <is>
          <t>P2</t>
        </is>
      </c>
      <c r="E282" s="7" t="inlineStr">
        <is>
          <t>场景设计法</t>
        </is>
      </c>
      <c r="F282" s="7" t="inlineStr">
        <is>
          <t>打法画像</t>
        </is>
      </c>
      <c r="G282" s="7" t="inlineStr">
        <is>
          <t>内部</t>
        </is>
      </c>
      <c r="H282" s="8" t="inlineStr">
        <is>
          <t>Hero 翻后反击倾向</t>
        </is>
      </c>
      <c r="I282" s="8" t="inlineStr">
        <is>
          <t>翻后 raise 次数 / 翻后面对下注次数</t>
        </is>
      </c>
      <c r="J282" s="8" t="inlineStr">
        <is>
          <t>翻后加注率正例-河牌面对下注后加注</t>
        </is>
      </c>
      <c r="K282" s="9" t="inlineStr">
        <is>
          <t>正例</t>
        </is>
      </c>
      <c r="L282" s="8" t="inlineStr">
        <is>
          <t>1、已登录，当前用户是 Hero。
2、素材含一手：河牌面对下注选择加注。该次计入分子，翻后加注率=a/b</t>
        </is>
      </c>
      <c r="M282" s="8" t="inlineStr">
        <is>
          <t>1、上传素材，生成复盘报告，等到能打开。
2、打开「翻后加注率」，检查是否为a/b。</t>
        </is>
      </c>
      <c r="N282" s="8" t="inlineStr">
        <is>
          <t>翻后加注率=a/b</t>
        </is>
      </c>
      <c r="O282" s="8" t="inlineStr">
        <is>
          <t>style_profile_stats.postflop_raise_rate</t>
        </is>
      </c>
      <c r="P282" s="10" t="inlineStr">
        <is>
          <t>未执行</t>
        </is>
      </c>
      <c r="Q282" s="10" t="inlineStr"/>
      <c r="R282" s="11" t="inlineStr"/>
    </row>
    <row r="283" ht="72" customHeight="1">
      <c r="A283" s="5" t="inlineStr">
        <is>
          <t>TC-RPT-279</t>
        </is>
      </c>
      <c r="B283" s="5" t="inlineStr">
        <is>
          <t>postflop_raise_rate</t>
        </is>
      </c>
      <c r="C283" s="5" t="inlineStr">
        <is>
          <t>翻后加注率</t>
        </is>
      </c>
      <c r="D283" s="14" t="inlineStr">
        <is>
          <t>P2</t>
        </is>
      </c>
      <c r="E283" s="7" t="inlineStr">
        <is>
          <t>场景设计法</t>
        </is>
      </c>
      <c r="F283" s="7" t="inlineStr">
        <is>
          <t>打法画像</t>
        </is>
      </c>
      <c r="G283" s="7" t="inlineStr">
        <is>
          <t>内部</t>
        </is>
      </c>
      <c r="H283" s="8" t="inlineStr">
        <is>
          <t>Hero 翻后反击倾向</t>
        </is>
      </c>
      <c r="I283" s="8" t="inlineStr">
        <is>
          <t>翻后 raise 次数 / 翻后面对下注次数</t>
        </is>
      </c>
      <c r="J283" s="8" t="inlineStr">
        <is>
          <t>翻后加注率反例-翻牌自己先下注</t>
        </is>
      </c>
      <c r="K283" s="12" t="inlineStr">
        <is>
          <t>反例</t>
        </is>
      </c>
      <c r="L283" s="8" t="inlineStr">
        <is>
          <t>1、已登录，当前用户是 Hero。
2、素材含一手：翻牌 Hero 自己先下注。该次不含翻后加注，翻后加注率仍=a/b</t>
        </is>
      </c>
      <c r="M283" s="8" t="inlineStr">
        <is>
          <t>1、上传素材，生成复盘报告，等到能打开。
2、打开「翻后加注率」，检查是否为a/b。</t>
        </is>
      </c>
      <c r="N283" s="8" t="inlineStr">
        <is>
          <t>翻后加注率=a/b</t>
        </is>
      </c>
      <c r="O283" s="8" t="inlineStr">
        <is>
          <t>style_profile_stats.postflop_raise_rate</t>
        </is>
      </c>
      <c r="P283" s="10" t="inlineStr">
        <is>
          <t>未执行</t>
        </is>
      </c>
      <c r="Q283" s="10" t="inlineStr"/>
      <c r="R283" s="11" t="inlineStr"/>
    </row>
    <row r="284" ht="72" customHeight="1">
      <c r="A284" s="5" t="inlineStr">
        <is>
          <t>TC-RPT-280</t>
        </is>
      </c>
      <c r="B284" s="5" t="inlineStr">
        <is>
          <t>postflop_raise_rate</t>
        </is>
      </c>
      <c r="C284" s="5" t="inlineStr">
        <is>
          <t>翻后加注率</t>
        </is>
      </c>
      <c r="D284" s="14" t="inlineStr">
        <is>
          <t>P2</t>
        </is>
      </c>
      <c r="E284" s="7" t="inlineStr">
        <is>
          <t>场景设计法</t>
        </is>
      </c>
      <c r="F284" s="7" t="inlineStr">
        <is>
          <t>打法画像</t>
        </is>
      </c>
      <c r="G284" s="7" t="inlineStr">
        <is>
          <t>内部</t>
        </is>
      </c>
      <c r="H284" s="8" t="inlineStr">
        <is>
          <t>Hero 翻后反击倾向</t>
        </is>
      </c>
      <c r="I284" s="8" t="inlineStr">
        <is>
          <t>翻后 raise 次数 / 翻后面对下注次数</t>
        </is>
      </c>
      <c r="J284" s="8" t="inlineStr">
        <is>
          <t>翻后加注率反例-只在翻前加注</t>
        </is>
      </c>
      <c r="K284" s="12" t="inlineStr">
        <is>
          <t>反例</t>
        </is>
      </c>
      <c r="L284" s="8" t="inlineStr">
        <is>
          <t>1、已登录，当前用户是 Hero。
2、素材含一手：只在翻前加注，翻后没有面对下注后加注。翻后加注率分子不含这次，仍=a/b</t>
        </is>
      </c>
      <c r="M284" s="8" t="inlineStr">
        <is>
          <t>1、上传素材，生成复盘报告，等到能打开。
2、打开「翻后加注率」，检查是否为a/b。</t>
        </is>
      </c>
      <c r="N284" s="8" t="inlineStr">
        <is>
          <t>翻后加注率=a/b</t>
        </is>
      </c>
      <c r="O284" s="8" t="inlineStr">
        <is>
          <t>style_profile_stats.postflop_raise_rate</t>
        </is>
      </c>
      <c r="P284" s="10" t="inlineStr">
        <is>
          <t>未执行</t>
        </is>
      </c>
      <c r="Q284" s="10" t="inlineStr"/>
      <c r="R284" s="11" t="inlineStr"/>
    </row>
    <row r="285" ht="72" customHeight="1">
      <c r="A285" s="5" t="inlineStr">
        <is>
          <t>TC-RPT-281</t>
        </is>
      </c>
      <c r="B285" s="5" t="inlineStr">
        <is>
          <t>multiway_pot_rate</t>
        </is>
      </c>
      <c r="C285" s="5" t="inlineStr">
        <is>
          <t>多人底池参与率</t>
        </is>
      </c>
      <c r="D285" s="13" t="inlineStr">
        <is>
          <t>P1</t>
        </is>
      </c>
      <c r="E285" s="7" t="inlineStr">
        <is>
          <t>等价类划分法</t>
        </is>
      </c>
      <c r="F285" s="7" t="inlineStr">
        <is>
          <t>打法画像</t>
        </is>
      </c>
      <c r="G285" s="7" t="inlineStr">
        <is>
          <t>内部</t>
        </is>
      </c>
      <c r="H285" s="8" t="inlineStr">
        <is>
          <t>Hero 参与多人底池比例</t>
        </is>
      </c>
      <c r="I285" s="8" t="inlineStr">
        <is>
          <t>Hero 进入多人（&gt;=3人）底池手数 / 参与手数</t>
        </is>
      </c>
      <c r="J285" s="8" t="inlineStr">
        <is>
          <t>多人底池参与率正例-翻后3人以上底池除以参与手数</t>
        </is>
      </c>
      <c r="K285" s="9" t="inlineStr">
        <is>
          <t>正例</t>
        </is>
      </c>
      <c r="L285" s="8" t="inlineStr">
        <is>
          <t>1、已登录，当前用户是 Hero。只用正例场。
2、素材里分子次数=a，分母次数=b，「多人底池参与率」应对=a/b</t>
        </is>
      </c>
      <c r="M285" s="8" t="inlineStr">
        <is>
          <t>1、上传素材，生成复盘报告，等到能打开。
2、打开「多人底池参与率」，检查是否为a/b。</t>
        </is>
      </c>
      <c r="N285" s="8" t="inlineStr">
        <is>
          <t>多人底池参与率=a/b</t>
        </is>
      </c>
      <c r="O285" s="8" t="inlineStr">
        <is>
          <t>style_profile_stats.multiway_pot_rate</t>
        </is>
      </c>
      <c r="P285" s="10" t="inlineStr">
        <is>
          <t>未执行</t>
        </is>
      </c>
      <c r="Q285" s="10" t="inlineStr"/>
      <c r="R285" s="11" t="inlineStr"/>
    </row>
    <row r="286" ht="72" customHeight="1">
      <c r="A286" s="5" t="inlineStr">
        <is>
          <t>TC-RPT-282</t>
        </is>
      </c>
      <c r="B286" s="5" t="inlineStr">
        <is>
          <t>multiway_pot_rate</t>
        </is>
      </c>
      <c r="C286" s="5" t="inlineStr">
        <is>
          <t>多人底池参与率</t>
        </is>
      </c>
      <c r="D286" s="13" t="inlineStr">
        <is>
          <t>P1</t>
        </is>
      </c>
      <c r="E286" s="7" t="inlineStr">
        <is>
          <t>等价类划分法</t>
        </is>
      </c>
      <c r="F286" s="7" t="inlineStr">
        <is>
          <t>打法画像</t>
        </is>
      </c>
      <c r="G286" s="7" t="inlineStr">
        <is>
          <t>内部</t>
        </is>
      </c>
      <c r="H286" s="8" t="inlineStr">
        <is>
          <t>Hero 参与多人底池比例</t>
        </is>
      </c>
      <c r="I286" s="8" t="inlineStr">
        <is>
          <t>Hero 进入多人（&gt;=3人）底池手数 / 参与手数</t>
        </is>
      </c>
      <c r="J286" s="8" t="inlineStr">
        <is>
          <t>多人底池参与率反例-单挑两人底池</t>
        </is>
      </c>
      <c r="K286" s="12" t="inlineStr">
        <is>
          <t>反例</t>
        </is>
      </c>
      <c r="L286" s="8" t="inlineStr">
        <is>
          <t>1、已登录，当前用户是 Hero。准备下列不该计入的素材。
2、翻后只剩2人。不应标多人底池，「多人底池参与率」仍=a/b</t>
        </is>
      </c>
      <c r="M286" s="8" t="inlineStr">
        <is>
          <t>1、上传素材，生成复盘报告，等到能打开。
2、打开「多人底池参与率」，检查是否为a/b。</t>
        </is>
      </c>
      <c r="N286" s="8" t="inlineStr">
        <is>
          <t>多人底池参与率=a/b</t>
        </is>
      </c>
      <c r="O286" s="8" t="inlineStr">
        <is>
          <t>style_profile_stats.multiway_pot_rate</t>
        </is>
      </c>
      <c r="P286" s="10" t="inlineStr">
        <is>
          <t>未执行</t>
        </is>
      </c>
      <c r="Q286" s="10" t="inlineStr"/>
      <c r="R286" s="11" t="inlineStr"/>
    </row>
    <row r="287" ht="72" customHeight="1">
      <c r="A287" s="5" t="inlineStr">
        <is>
          <t>TC-RPT-283</t>
        </is>
      </c>
      <c r="B287" s="5" t="inlineStr">
        <is>
          <t>multiway_pot_rate</t>
        </is>
      </c>
      <c r="C287" s="5" t="inlineStr">
        <is>
          <t>多人底池参与率</t>
        </is>
      </c>
      <c r="D287" s="13" t="inlineStr">
        <is>
          <t>P1</t>
        </is>
      </c>
      <c r="E287" s="7" t="inlineStr">
        <is>
          <t>边界值分析法</t>
        </is>
      </c>
      <c r="F287" s="7" t="inlineStr">
        <is>
          <t>打法画像</t>
        </is>
      </c>
      <c r="G287" s="7" t="inlineStr">
        <is>
          <t>内部</t>
        </is>
      </c>
      <c r="H287" s="8" t="inlineStr">
        <is>
          <t>Hero 参与多人底池比例</t>
        </is>
      </c>
      <c r="I287" s="8" t="inlineStr">
        <is>
          <t>Hero 进入多人（&gt;=3人）底池手数 / 参与手数</t>
        </is>
      </c>
      <c r="J287" s="8" t="inlineStr">
        <is>
          <t>多人底池参与率反例-分母为0字段不出现</t>
        </is>
      </c>
      <c r="K287" s="12" t="inlineStr">
        <is>
          <t>反例</t>
        </is>
      </c>
      <c r="L287" s="8" t="inlineStr">
        <is>
          <t>1、已登录，当前用户是 Hero。
2、参与手数为 0。「多人底池参与率」应为空或不出现，不能写成 0% 或 100%。</t>
        </is>
      </c>
      <c r="M287" s="8" t="inlineStr">
        <is>
          <t>1、上传素材，生成复盘报告，等到能打开。
2、打开「多人底池参与率」，检查是否为空或不出现。</t>
        </is>
      </c>
      <c r="N287" s="8" t="inlineStr">
        <is>
          <t>多人底池参与率为空或不出现</t>
        </is>
      </c>
      <c r="O287" s="8" t="inlineStr">
        <is>
          <t>style_profile_stats.multiway_pot_rate</t>
        </is>
      </c>
      <c r="P287" s="10" t="inlineStr">
        <is>
          <t>未执行</t>
        </is>
      </c>
      <c r="Q287" s="10" t="inlineStr"/>
      <c r="R287" s="11" t="inlineStr"/>
    </row>
    <row r="288" ht="72" customHeight="1">
      <c r="A288" s="5" t="inlineStr">
        <is>
          <t>TC-RPT-284</t>
        </is>
      </c>
      <c r="B288" s="5" t="inlineStr">
        <is>
          <t>multiway_pot_rate</t>
        </is>
      </c>
      <c r="C288" s="5" t="inlineStr">
        <is>
          <t>多人底池参与率</t>
        </is>
      </c>
      <c r="D288" s="13" t="inlineStr">
        <is>
          <t>P1</t>
        </is>
      </c>
      <c r="E288" s="7" t="inlineStr">
        <is>
          <t>边界值分析法</t>
        </is>
      </c>
      <c r="F288" s="7" t="inlineStr">
        <is>
          <t>打法画像</t>
        </is>
      </c>
      <c r="G288" s="7" t="inlineStr">
        <is>
          <t>内部</t>
        </is>
      </c>
      <c r="H288" s="8" t="inlineStr">
        <is>
          <t>Hero 参与多人底池比例</t>
        </is>
      </c>
      <c r="I288" s="8" t="inlineStr">
        <is>
          <t>Hero 进入多人（&gt;=3人）底池手数 / 参与手数</t>
        </is>
      </c>
      <c r="J288" s="8" t="inlineStr">
        <is>
          <t>多人底池参与率正例-单位与换算正确</t>
        </is>
      </c>
      <c r="K288" s="9" t="inlineStr">
        <is>
          <t>正例</t>
        </is>
      </c>
      <c r="L288" s="8" t="inlineStr">
        <is>
          <t>1、已登录，当前用户是 Hero。
2、各手筹码和大盲已记下，按该手换算后「多人底池参与率」=n</t>
        </is>
      </c>
      <c r="M288" s="8" t="inlineStr">
        <is>
          <t>1、上传素材，生成复盘报告，等到能打开。
2、打开「多人底池参与率」，检查是否为n。</t>
        </is>
      </c>
      <c r="N288" s="8" t="inlineStr">
        <is>
          <t>多人底池参与率=n</t>
        </is>
      </c>
      <c r="O288" s="8" t="inlineStr">
        <is>
          <t>style_profile_stats.multiway_pot_rate</t>
        </is>
      </c>
      <c r="P288" s="10" t="inlineStr">
        <is>
          <t>未执行</t>
        </is>
      </c>
      <c r="Q288" s="10" t="inlineStr"/>
      <c r="R288" s="11" t="inlineStr"/>
    </row>
    <row r="289" ht="72" customHeight="1">
      <c r="A289" s="5" t="inlineStr">
        <is>
          <t>TC-RPT-285</t>
        </is>
      </c>
      <c r="B289" s="5" t="inlineStr">
        <is>
          <t>weak_top_pair_continue_rate</t>
        </is>
      </c>
      <c r="C289" s="5" t="inlineStr">
        <is>
          <t>弱顶对持续投入率</t>
        </is>
      </c>
      <c r="D289" s="13" t="inlineStr">
        <is>
          <t>P1</t>
        </is>
      </c>
      <c r="E289" s="7" t="inlineStr">
        <is>
          <t>判定表法</t>
        </is>
      </c>
      <c r="F289" s="7" t="inlineStr">
        <is>
          <t>打法画像</t>
        </is>
      </c>
      <c r="G289" s="7" t="inlineStr">
        <is>
          <t>内部</t>
        </is>
      </c>
      <c r="H289" s="8" t="inlineStr">
        <is>
          <t>弱顶对场景中继续投入比例</t>
        </is>
      </c>
      <c r="I289" s="8" t="inlineStr">
        <is>
          <t>弱顶对场景中转牌+河牌继续投入次数 / 弱顶对场景数</t>
        </is>
      </c>
      <c r="J289" s="8" t="inlineStr">
        <is>
          <t>弱顶对持续投入率正例-弱顶对转河继续投入除以弱顶对手数</t>
        </is>
      </c>
      <c r="K289" s="9" t="inlineStr">
        <is>
          <t>正例</t>
        </is>
      </c>
      <c r="L289" s="8" t="inlineStr">
        <is>
          <t>1、已登录，当前用户是 Hero。只用正例场。
2、素材里分子次数=a，分母次数=b，「弱顶对持续投入率」应对=a/b</t>
        </is>
      </c>
      <c r="M289" s="8" t="inlineStr">
        <is>
          <t>1、上传素材，生成复盘报告，等到能打开。
2、打开「弱顶对持续投入率」，检查是否为a/b。</t>
        </is>
      </c>
      <c r="N289" s="8" t="inlineStr">
        <is>
          <t>弱顶对持续投入率=a/b</t>
        </is>
      </c>
      <c r="O289" s="8" t="inlineStr">
        <is>
          <t>style_profile_stats.weak_top_pair_continue_rate</t>
        </is>
      </c>
      <c r="P289" s="10" t="inlineStr">
        <is>
          <t>未执行</t>
        </is>
      </c>
      <c r="Q289" s="10" t="inlineStr"/>
      <c r="R289" s="11" t="inlineStr"/>
    </row>
    <row r="290" ht="72" customHeight="1">
      <c r="A290" s="5" t="inlineStr">
        <is>
          <t>TC-RPT-286</t>
        </is>
      </c>
      <c r="B290" s="5" t="inlineStr">
        <is>
          <t>weak_top_pair_continue_rate</t>
        </is>
      </c>
      <c r="C290" s="5" t="inlineStr">
        <is>
          <t>弱顶对持续投入率</t>
        </is>
      </c>
      <c r="D290" s="13" t="inlineStr">
        <is>
          <t>P1</t>
        </is>
      </c>
      <c r="E290" s="7" t="inlineStr">
        <is>
          <t>判定表法</t>
        </is>
      </c>
      <c r="F290" s="7" t="inlineStr">
        <is>
          <t>打法画像</t>
        </is>
      </c>
      <c r="G290" s="7" t="inlineStr">
        <is>
          <t>内部</t>
        </is>
      </c>
      <c r="H290" s="8" t="inlineStr">
        <is>
          <t>弱顶对场景中继续投入比例</t>
        </is>
      </c>
      <c r="I290" s="8" t="inlineStr">
        <is>
          <t>弱顶对场景中转牌+河牌继续投入次数 / 弱顶对场景数</t>
        </is>
      </c>
      <c r="J290" s="8" t="inlineStr">
        <is>
          <t>弱顶对持续投入率反例-A高面拿ATs</t>
        </is>
      </c>
      <c r="K290" s="12" t="inlineStr">
        <is>
          <t>反例</t>
        </is>
      </c>
      <c r="L290" s="8" t="inlineStr">
        <is>
          <t>1、已登录，当前用户是 Hero。准备下列不该计入的素材。
2、只满足一半条件，应计入条数=0
· 只有弱顶对、转河没有继续投入
· 继续投入但牌力不是弱顶对</t>
        </is>
      </c>
      <c r="M290" s="8" t="inlineStr">
        <is>
          <t>1、上传素材，生成复盘报告，等到能打开。
2、打开「弱顶对持续投入率」，检查是否为0。</t>
        </is>
      </c>
      <c r="N290" s="8" t="inlineStr">
        <is>
          <t>弱顶对持续投入率=0</t>
        </is>
      </c>
      <c r="O290" s="8" t="inlineStr">
        <is>
          <t>style_profile_stats.weak_top_pair_continue_rate</t>
        </is>
      </c>
      <c r="P290" s="10" t="inlineStr">
        <is>
          <t>未执行</t>
        </is>
      </c>
      <c r="Q290" s="10" t="inlineStr"/>
      <c r="R290" s="11" t="inlineStr"/>
    </row>
    <row r="291" ht="72" customHeight="1">
      <c r="A291" s="5" t="inlineStr">
        <is>
          <t>TC-RPT-287</t>
        </is>
      </c>
      <c r="B291" s="5" t="inlineStr">
        <is>
          <t>weak_top_pair_continue_rate</t>
        </is>
      </c>
      <c r="C291" s="5" t="inlineStr">
        <is>
          <t>弱顶对持续投入率</t>
        </is>
      </c>
      <c r="D291" s="13" t="inlineStr">
        <is>
          <t>P1</t>
        </is>
      </c>
      <c r="E291" s="7" t="inlineStr">
        <is>
          <t>因果图法</t>
        </is>
      </c>
      <c r="F291" s="7" t="inlineStr">
        <is>
          <t>打法画像</t>
        </is>
      </c>
      <c r="G291" s="7" t="inlineStr">
        <is>
          <t>内部</t>
        </is>
      </c>
      <c r="H291" s="8" t="inlineStr">
        <is>
          <t>弱顶对场景中继续投入比例</t>
        </is>
      </c>
      <c r="I291" s="8" t="inlineStr">
        <is>
          <t>弱顶对场景中转牌+河牌继续投入次数 / 弱顶对场景数</t>
        </is>
      </c>
      <c r="J291" s="8" t="inlineStr">
        <is>
          <t>弱顶对持续投入率反例-只满足一半条件不含</t>
        </is>
      </c>
      <c r="K291" s="12" t="inlineStr">
        <is>
          <t>反例</t>
        </is>
      </c>
      <c r="L291" s="8" t="inlineStr">
        <is>
          <t>1、已登录，当前用户是 Hero。
2、只满足一半条件，应计入条数=0
· 只有弱顶对、转河没有继续投入
· 继续投入但牌力不是弱顶对</t>
        </is>
      </c>
      <c r="M291" s="8" t="inlineStr">
        <is>
          <t>1、上传素材，生成复盘报告，等到能打开。
2、打开「弱顶对持续投入率」，检查是否为0。</t>
        </is>
      </c>
      <c r="N291" s="8" t="inlineStr">
        <is>
          <t>弱顶对持续投入率=0</t>
        </is>
      </c>
      <c r="O291" s="8" t="inlineStr">
        <is>
          <t>style_profile_stats.weak_top_pair_continue_rate</t>
        </is>
      </c>
      <c r="P291" s="10" t="inlineStr">
        <is>
          <t>未执行</t>
        </is>
      </c>
      <c r="Q291" s="10" t="inlineStr"/>
      <c r="R291" s="11" t="inlineStr"/>
    </row>
    <row r="292" ht="72" customHeight="1">
      <c r="A292" s="5" t="inlineStr">
        <is>
          <t>TC-RPT-288</t>
        </is>
      </c>
      <c r="B292" s="5" t="inlineStr">
        <is>
          <t>weak_top_pair_continue_rate</t>
        </is>
      </c>
      <c r="C292" s="5" t="inlineStr">
        <is>
          <t>弱顶对持续投入率</t>
        </is>
      </c>
      <c r="D292" s="13" t="inlineStr">
        <is>
          <t>P1</t>
        </is>
      </c>
      <c r="E292" s="7" t="inlineStr">
        <is>
          <t>判定表法</t>
        </is>
      </c>
      <c r="F292" s="7" t="inlineStr">
        <is>
          <t>打法画像</t>
        </is>
      </c>
      <c r="G292" s="7" t="inlineStr">
        <is>
          <t>内部</t>
        </is>
      </c>
      <c r="H292" s="8" t="inlineStr">
        <is>
          <t>弱顶对场景中继续投入比例</t>
        </is>
      </c>
      <c r="I292" s="8" t="inlineStr">
        <is>
          <t>弱顶对场景中转牌+河牌继续投入次数 / 弱顶对场景数</t>
        </is>
      </c>
      <c r="J292" s="8" t="inlineStr">
        <is>
          <t>弱顶对持续投入正例-转牌或河牌继续投入</t>
        </is>
      </c>
      <c r="K292" s="9" t="inlineStr">
        <is>
          <t>正例</t>
        </is>
      </c>
      <c r="L292" s="8" t="inlineStr">
        <is>
          <t>1、已登录，当前用户是 Hero。
2、素材里弱顶对手数=2（1 手继续投入，1 手过牌），「弱顶对持续投入率」应对=1/2</t>
        </is>
      </c>
      <c r="M292" s="8" t="inlineStr">
        <is>
          <t>1、上传素材，生成复盘报告，等到能打开。
2、打开「弱顶对持续投入率」，检查是否为1/2。</t>
        </is>
      </c>
      <c r="N292" s="8" t="inlineStr">
        <is>
          <t>弱顶对持续投入率=1/2</t>
        </is>
      </c>
      <c r="O292" s="8" t="inlineStr">
        <is>
          <t>style_profile_stats.weak_top_pair_continue_rate</t>
        </is>
      </c>
      <c r="P292" s="10" t="inlineStr">
        <is>
          <t>未执行</t>
        </is>
      </c>
      <c r="Q292" s="10" t="inlineStr"/>
      <c r="R292" s="11" t="inlineStr"/>
    </row>
    <row r="293" ht="72" customHeight="1">
      <c r="A293" s="5" t="inlineStr">
        <is>
          <t>TC-RPT-289</t>
        </is>
      </c>
      <c r="B293" s="5" t="inlineStr">
        <is>
          <t>weak_top_pair_continue_rate</t>
        </is>
      </c>
      <c r="C293" s="5" t="inlineStr">
        <is>
          <t>弱顶对持续投入率</t>
        </is>
      </c>
      <c r="D293" s="13" t="inlineStr">
        <is>
          <t>P1</t>
        </is>
      </c>
      <c r="E293" s="7" t="inlineStr">
        <is>
          <t>判定表法</t>
        </is>
      </c>
      <c r="F293" s="7" t="inlineStr">
        <is>
          <t>打法画像</t>
        </is>
      </c>
      <c r="G293" s="7" t="inlineStr">
        <is>
          <t>内部</t>
        </is>
      </c>
      <c r="H293" s="8" t="inlineStr">
        <is>
          <t>弱顶对场景中继续投入比例</t>
        </is>
      </c>
      <c r="I293" s="8" t="inlineStr">
        <is>
          <t>弱顶对场景中转牌+河牌继续投入次数 / 弱顶对场景数</t>
        </is>
      </c>
      <c r="J293" s="8" t="inlineStr">
        <is>
          <t>弱顶对持续投入反例-A为最高公牌拿ATs</t>
        </is>
      </c>
      <c r="K293" s="12" t="inlineStr">
        <is>
          <t>反例</t>
        </is>
      </c>
      <c r="L293" s="8" t="inlineStr">
        <is>
          <t>1、已登录，当前用户是 Hero。
2、素材含一手：A 高面 Hero 拿 ATs 并继续投入。弱顶对场景数不含它，仍=n</t>
        </is>
      </c>
      <c r="M293" s="8" t="inlineStr">
        <is>
          <t>1、上传素材，生成复盘报告，等到能打开。
2、打开「弱顶对持续投入率」，检查是否为n。</t>
        </is>
      </c>
      <c r="N293" s="8" t="inlineStr">
        <is>
          <t>弱顶对持续投入率=n</t>
        </is>
      </c>
      <c r="O293" s="8" t="inlineStr">
        <is>
          <t>style_profile_stats.weak_top_pair_continue_rate</t>
        </is>
      </c>
      <c r="P293" s="10" t="inlineStr">
        <is>
          <t>未执行</t>
        </is>
      </c>
      <c r="Q293" s="10" t="inlineStr"/>
      <c r="R293" s="11" t="inlineStr"/>
    </row>
    <row r="294" ht="72" customHeight="1">
      <c r="A294" s="5" t="inlineStr">
        <is>
          <t>TC-RPT-290</t>
        </is>
      </c>
      <c r="B294" s="5" t="inlineStr">
        <is>
          <t>marginal_hand_entry_rate</t>
        </is>
      </c>
      <c r="C294" s="5" t="inlineStr">
        <is>
          <t>边缘牌入池率</t>
        </is>
      </c>
      <c r="D294" s="13" t="inlineStr">
        <is>
          <t>P1</t>
        </is>
      </c>
      <c r="E294" s="7" t="inlineStr">
        <is>
          <t>判定表法</t>
        </is>
      </c>
      <c r="F294" s="7" t="inlineStr">
        <is>
          <t>打法画像</t>
        </is>
      </c>
      <c r="G294" s="7" t="inlineStr">
        <is>
          <t>内部</t>
        </is>
      </c>
      <c r="H294" s="8" t="inlineStr">
        <is>
          <t>Hero 用边缘起手牌参与比例</t>
        </is>
      </c>
      <c r="I294" s="8" t="inlineStr">
        <is>
          <t>边缘起手牌入池次数 / 边缘牌出现次数</t>
        </is>
      </c>
      <c r="J294" s="8" t="inlineStr">
        <is>
          <t>边缘牌入池率正例-边缘牌入池除以边缘牌出现次数</t>
        </is>
      </c>
      <c r="K294" s="9" t="inlineStr">
        <is>
          <t>正例</t>
        </is>
      </c>
      <c r="L294" s="8" t="inlineStr">
        <is>
          <t>1、已登录，当前用户是 Hero。只用正例场。
2、素材里分子次数=a，分母次数=b，「边缘牌入池率」应对=a/b</t>
        </is>
      </c>
      <c r="M294" s="8" t="inlineStr">
        <is>
          <t>1、上传素材，生成复盘报告，等到能打开。
2、打开「边缘牌入池率」，检查是否为a/b。</t>
        </is>
      </c>
      <c r="N294" s="8" t="inlineStr">
        <is>
          <t>边缘牌入池率=a/b</t>
        </is>
      </c>
      <c r="O294" s="8" t="inlineStr">
        <is>
          <t>style_profile_stats.marginal_hand_entry_rate</t>
        </is>
      </c>
      <c r="P294" s="10" t="inlineStr">
        <is>
          <t>未执行</t>
        </is>
      </c>
      <c r="Q294" s="10" t="inlineStr"/>
      <c r="R294" s="11" t="inlineStr"/>
    </row>
    <row r="295" ht="72" customHeight="1">
      <c r="A295" s="5" t="inlineStr">
        <is>
          <t>TC-RPT-291</t>
        </is>
      </c>
      <c r="B295" s="5" t="inlineStr">
        <is>
          <t>marginal_hand_entry_rate</t>
        </is>
      </c>
      <c r="C295" s="5" t="inlineStr">
        <is>
          <t>边缘牌入池率</t>
        </is>
      </c>
      <c r="D295" s="13" t="inlineStr">
        <is>
          <t>P1</t>
        </is>
      </c>
      <c r="E295" s="7" t="inlineStr">
        <is>
          <t>判定表法</t>
        </is>
      </c>
      <c r="F295" s="7" t="inlineStr">
        <is>
          <t>打法画像</t>
        </is>
      </c>
      <c r="G295" s="7" t="inlineStr">
        <is>
          <t>内部</t>
        </is>
      </c>
      <c r="H295" s="8" t="inlineStr">
        <is>
          <t>Hero 用边缘起手牌参与比例</t>
        </is>
      </c>
      <c r="I295" s="8" t="inlineStr">
        <is>
          <t>边缘起手牌入池次数 / 边缘牌出现次数</t>
        </is>
      </c>
      <c r="J295" s="8" t="inlineStr">
        <is>
          <t>边缘牌入池率反例-AA等强牌当边缘牌</t>
        </is>
      </c>
      <c r="K295" s="12" t="inlineStr">
        <is>
          <t>反例</t>
        </is>
      </c>
      <c r="L295" s="8" t="inlineStr">
        <is>
          <t>1、已登录，当前用户是 Hero。准备下列不该计入的素材。
2、只满足一半条件，应计入条数=0
· 入池但牌是强范围
· 边缘牌但没入池</t>
        </is>
      </c>
      <c r="M295" s="8" t="inlineStr">
        <is>
          <t>1、上传素材，生成复盘报告，等到能打开。
2、打开「边缘牌入池率」，检查是否为0。</t>
        </is>
      </c>
      <c r="N295" s="8" t="inlineStr">
        <is>
          <t>边缘牌入池率=0</t>
        </is>
      </c>
      <c r="O295" s="8" t="inlineStr">
        <is>
          <t>style_profile_stats.marginal_hand_entry_rate</t>
        </is>
      </c>
      <c r="P295" s="10" t="inlineStr">
        <is>
          <t>未执行</t>
        </is>
      </c>
      <c r="Q295" s="10" t="inlineStr"/>
      <c r="R295" s="11" t="inlineStr"/>
    </row>
    <row r="296" ht="72" customHeight="1">
      <c r="A296" s="5" t="inlineStr">
        <is>
          <t>TC-RPT-292</t>
        </is>
      </c>
      <c r="B296" s="5" t="inlineStr">
        <is>
          <t>marginal_hand_entry_rate</t>
        </is>
      </c>
      <c r="C296" s="5" t="inlineStr">
        <is>
          <t>边缘牌入池率</t>
        </is>
      </c>
      <c r="D296" s="13" t="inlineStr">
        <is>
          <t>P1</t>
        </is>
      </c>
      <c r="E296" s="7" t="inlineStr">
        <is>
          <t>因果图法</t>
        </is>
      </c>
      <c r="F296" s="7" t="inlineStr">
        <is>
          <t>打法画像</t>
        </is>
      </c>
      <c r="G296" s="7" t="inlineStr">
        <is>
          <t>内部</t>
        </is>
      </c>
      <c r="H296" s="8" t="inlineStr">
        <is>
          <t>Hero 用边缘起手牌参与比例</t>
        </is>
      </c>
      <c r="I296" s="8" t="inlineStr">
        <is>
          <t>边缘起手牌入池次数 / 边缘牌出现次数</t>
        </is>
      </c>
      <c r="J296" s="8" t="inlineStr">
        <is>
          <t>边缘牌入池率反例-只满足一半条件不含</t>
        </is>
      </c>
      <c r="K296" s="12" t="inlineStr">
        <is>
          <t>反例</t>
        </is>
      </c>
      <c r="L296" s="8" t="inlineStr">
        <is>
          <t>1、已登录，当前用户是 Hero。
2、只满足一半条件，应计入条数=0
· 入池但牌是强范围
· 边缘牌但没入池</t>
        </is>
      </c>
      <c r="M296" s="8" t="inlineStr">
        <is>
          <t>1、上传素材，生成复盘报告，等到能打开。
2、打开「边缘牌入池率」，检查是否为0。</t>
        </is>
      </c>
      <c r="N296" s="8" t="inlineStr">
        <is>
          <t>边缘牌入池率=0</t>
        </is>
      </c>
      <c r="O296" s="8" t="inlineStr">
        <is>
          <t>style_profile_stats.marginal_hand_entry_rate</t>
        </is>
      </c>
      <c r="P296" s="10" t="inlineStr">
        <is>
          <t>未执行</t>
        </is>
      </c>
      <c r="Q296" s="10" t="inlineStr"/>
      <c r="R296" s="11" t="inlineStr"/>
    </row>
    <row r="297" ht="72" customHeight="1">
      <c r="A297" s="5" t="inlineStr">
        <is>
          <t>TC-RPT-293</t>
        </is>
      </c>
      <c r="B297" s="5" t="inlineStr">
        <is>
          <t>marginal_hand_entry_rate</t>
        </is>
      </c>
      <c r="C297" s="5" t="inlineStr">
        <is>
          <t>边缘牌入池率</t>
        </is>
      </c>
      <c r="D297" s="13" t="inlineStr">
        <is>
          <t>P1</t>
        </is>
      </c>
      <c r="E297" s="7" t="inlineStr">
        <is>
          <t>因果图法</t>
        </is>
      </c>
      <c r="F297" s="7" t="inlineStr">
        <is>
          <t>打法画像</t>
        </is>
      </c>
      <c r="G297" s="7" t="inlineStr">
        <is>
          <t>内部</t>
        </is>
      </c>
      <c r="H297" s="8" t="inlineStr">
        <is>
          <t>Hero 用边缘起手牌参与比例</t>
        </is>
      </c>
      <c r="I297" s="8" t="inlineStr">
        <is>
          <t>边缘起手牌入池次数 / 边缘牌出现次数</t>
        </is>
      </c>
      <c r="J297" s="8" t="inlineStr">
        <is>
          <t>边缘牌入池率正例-拿到边缘牌却弃牌只算分母不算分子</t>
        </is>
      </c>
      <c r="K297" s="9" t="inlineStr">
        <is>
          <t>正例</t>
        </is>
      </c>
      <c r="L297" s="8" t="inlineStr">
        <is>
          <t>1、已登录，当前用户是 Hero。
2、素材里边缘牌出现次数=b，入池次数=a（AA 不算边缘），「边缘牌入池率」应对=a/b</t>
        </is>
      </c>
      <c r="M297" s="8" t="inlineStr">
        <is>
          <t>1、上传素材，生成复盘报告，等到能打开。
2、打开「边缘牌入池率」，检查是否为a/b。</t>
        </is>
      </c>
      <c r="N297" s="8" t="inlineStr">
        <is>
          <t>边缘牌入池率=a/b</t>
        </is>
      </c>
      <c r="O297" s="8" t="inlineStr">
        <is>
          <t>style_profile_stats.marginal_hand_entry_rate</t>
        </is>
      </c>
      <c r="P297" s="10" t="inlineStr">
        <is>
          <t>未执行</t>
        </is>
      </c>
      <c r="Q297" s="10" t="inlineStr"/>
      <c r="R297" s="11" t="inlineStr"/>
    </row>
    <row r="298" ht="72" customHeight="1">
      <c r="A298" s="5" t="inlineStr">
        <is>
          <t>TC-RPT-294</t>
        </is>
      </c>
      <c r="B298" s="5" t="inlineStr">
        <is>
          <t>aggression_ratio</t>
        </is>
      </c>
      <c r="C298" s="5" t="inlineStr">
        <is>
          <t>激进动作占比</t>
        </is>
      </c>
      <c r="D298" s="14" t="inlineStr">
        <is>
          <t>P2</t>
        </is>
      </c>
      <c r="E298" s="7" t="inlineStr">
        <is>
          <t>等价类划分法</t>
        </is>
      </c>
      <c r="F298" s="7" t="inlineStr">
        <is>
          <t>打法画像</t>
        </is>
      </c>
      <c r="G298" s="7" t="inlineStr">
        <is>
          <t>内部</t>
        </is>
      </c>
      <c r="H298" s="8" t="inlineStr">
        <is>
          <t>Hero 主动进攻与被动动作的比例</t>
        </is>
      </c>
      <c r="I298" s="8" t="inlineStr">
        <is>
          <t>bet + raise 次数 / call + check 次数</t>
        </is>
      </c>
      <c r="J298" s="8" t="inlineStr">
        <is>
          <t>激进动作占比正例-下注加注除以跟注过牌</t>
        </is>
      </c>
      <c r="K298" s="9" t="inlineStr">
        <is>
          <t>正例</t>
        </is>
      </c>
      <c r="L298" s="8" t="inlineStr">
        <is>
          <t>1、已登录，当前用户是 Hero。只用正例场。
2、素材里分子次数=a，分母次数=b，「激进动作占比」应对=a/b</t>
        </is>
      </c>
      <c r="M298" s="8" t="inlineStr">
        <is>
          <t>1、上传素材，生成复盘报告，等到能打开。
2、打开「激进动作占比」，检查是否为a/b。</t>
        </is>
      </c>
      <c r="N298" s="8" t="inlineStr">
        <is>
          <t>激进动作占比=a/b</t>
        </is>
      </c>
      <c r="O298" s="8" t="inlineStr">
        <is>
          <t>style_profile_stats.aggression_ratio</t>
        </is>
      </c>
      <c r="P298" s="10" t="inlineStr">
        <is>
          <t>未执行</t>
        </is>
      </c>
      <c r="Q298" s="10" t="inlineStr"/>
      <c r="R298" s="11" t="inlineStr"/>
    </row>
    <row r="299" ht="72" customHeight="1">
      <c r="A299" s="5" t="inlineStr">
        <is>
          <t>TC-RPT-295</t>
        </is>
      </c>
      <c r="B299" s="5" t="inlineStr">
        <is>
          <t>aggression_ratio</t>
        </is>
      </c>
      <c r="C299" s="5" t="inlineStr">
        <is>
          <t>激进动作占比</t>
        </is>
      </c>
      <c r="D299" s="14" t="inlineStr">
        <is>
          <t>P2</t>
        </is>
      </c>
      <c r="E299" s="7" t="inlineStr">
        <is>
          <t>等价类划分法</t>
        </is>
      </c>
      <c r="F299" s="7" t="inlineStr">
        <is>
          <t>打法画像</t>
        </is>
      </c>
      <c r="G299" s="7" t="inlineStr">
        <is>
          <t>内部</t>
        </is>
      </c>
      <c r="H299" s="8" t="inlineStr">
        <is>
          <t>Hero 主动进攻与被动动作的比例</t>
        </is>
      </c>
      <c r="I299" s="8" t="inlineStr">
        <is>
          <t>bet + raise 次数 / call + check 次数</t>
        </is>
      </c>
      <c r="J299" s="8" t="inlineStr">
        <is>
          <t>激进动作占比反例-弃牌误算分母</t>
        </is>
      </c>
      <c r="K299" s="12" t="inlineStr">
        <is>
          <t>反例</t>
        </is>
      </c>
      <c r="L299" s="8" t="inlineStr">
        <is>
          <t>1、已登录，当前用户是 Hero。准备下列不该计入的素材。
2、弃牌动作计入分母，「激进动作占比」仍=a/b</t>
        </is>
      </c>
      <c r="M299" s="8" t="inlineStr">
        <is>
          <t>1、上传素材，生成复盘报告，等到能打开。
2、打开「激进动作占比」，检查是否为a/b。</t>
        </is>
      </c>
      <c r="N299" s="8" t="inlineStr">
        <is>
          <t>激进动作占比=a/b</t>
        </is>
      </c>
      <c r="O299" s="8" t="inlineStr">
        <is>
          <t>style_profile_stats.aggression_ratio</t>
        </is>
      </c>
      <c r="P299" s="10" t="inlineStr">
        <is>
          <t>未执行</t>
        </is>
      </c>
      <c r="Q299" s="10" t="inlineStr"/>
      <c r="R299" s="11" t="inlineStr"/>
    </row>
    <row r="300" ht="72" customHeight="1">
      <c r="A300" s="5" t="inlineStr">
        <is>
          <t>TC-RPT-296</t>
        </is>
      </c>
      <c r="B300" s="5" t="inlineStr">
        <is>
          <t>aggression_ratio</t>
        </is>
      </c>
      <c r="C300" s="5" t="inlineStr">
        <is>
          <t>激进动作占比</t>
        </is>
      </c>
      <c r="D300" s="14" t="inlineStr">
        <is>
          <t>P2</t>
        </is>
      </c>
      <c r="E300" s="7" t="inlineStr">
        <is>
          <t>边界值分析法</t>
        </is>
      </c>
      <c r="F300" s="7" t="inlineStr">
        <is>
          <t>打法画像</t>
        </is>
      </c>
      <c r="G300" s="7" t="inlineStr">
        <is>
          <t>内部</t>
        </is>
      </c>
      <c r="H300" s="8" t="inlineStr">
        <is>
          <t>Hero 主动进攻与被动动作的比例</t>
        </is>
      </c>
      <c r="I300" s="8" t="inlineStr">
        <is>
          <t>bet + raise 次数 / call + check 次数</t>
        </is>
      </c>
      <c r="J300" s="8" t="inlineStr">
        <is>
          <t>激进动作占比正例-单位与换算正确</t>
        </is>
      </c>
      <c r="K300" s="9" t="inlineStr">
        <is>
          <t>正例</t>
        </is>
      </c>
      <c r="L300" s="8" t="inlineStr">
        <is>
          <t>1、已登录，当前用户是 Hero。
2、各手筹码和大盲已记下，按该手换算后「激进动作占比」=n</t>
        </is>
      </c>
      <c r="M300" s="8" t="inlineStr">
        <is>
          <t>1、上传素材，生成复盘报告，等到能打开。
2、打开「激进动作占比」，检查是否为n。</t>
        </is>
      </c>
      <c r="N300" s="8" t="inlineStr">
        <is>
          <t>激进动作占比=n</t>
        </is>
      </c>
      <c r="O300" s="8" t="inlineStr">
        <is>
          <t>style_profile_stats.aggression_ratio</t>
        </is>
      </c>
      <c r="P300" s="10" t="inlineStr">
        <is>
          <t>未执行</t>
        </is>
      </c>
      <c r="Q300" s="10" t="inlineStr"/>
      <c r="R300" s="11" t="inlineStr"/>
    </row>
    <row r="301" ht="72" customHeight="1">
      <c r="A301" s="5" t="inlineStr">
        <is>
          <t>TC-RPT-297</t>
        </is>
      </c>
      <c r="B301" s="5" t="inlineStr">
        <is>
          <t>aggression_ratio</t>
        </is>
      </c>
      <c r="C301" s="5" t="inlineStr">
        <is>
          <t>激进动作占比</t>
        </is>
      </c>
      <c r="D301" s="14" t="inlineStr">
        <is>
          <t>P2</t>
        </is>
      </c>
      <c r="E301" s="7" t="inlineStr">
        <is>
          <t>场景设计法</t>
        </is>
      </c>
      <c r="F301" s="7" t="inlineStr">
        <is>
          <t>打法画像</t>
        </is>
      </c>
      <c r="G301" s="7" t="inlineStr">
        <is>
          <t>内部</t>
        </is>
      </c>
      <c r="H301" s="8" t="inlineStr">
        <is>
          <t>Hero 主动进攻与被动动作的比例</t>
        </is>
      </c>
      <c r="I301" s="8" t="inlineStr">
        <is>
          <t>bet + raise 次数 / call + check 次数</t>
        </is>
      </c>
      <c r="J301" s="8" t="inlineStr">
        <is>
          <t>激进动作占比正例-四街下注和加注都算</t>
        </is>
      </c>
      <c r="K301" s="9" t="inlineStr">
        <is>
          <t>正例</t>
        </is>
      </c>
      <c r="L301" s="8" t="inlineStr">
        <is>
          <t>1、已登录，当前用户是 Hero。
2、素材里 下注和加注=a，跟注和过牌=b，「激进动作占比」应对=a/b</t>
        </is>
      </c>
      <c r="M301" s="8" t="inlineStr">
        <is>
          <t>1、上传素材，生成复盘报告，等到能打开。
2、打开「激进动作占比」，检查是否为a/b。</t>
        </is>
      </c>
      <c r="N301" s="8" t="inlineStr">
        <is>
          <t>激进动作占比=a/b</t>
        </is>
      </c>
      <c r="O301" s="8" t="inlineStr">
        <is>
          <t>style_profile_stats.aggression_ratio</t>
        </is>
      </c>
      <c r="P301" s="10" t="inlineStr">
        <is>
          <t>未执行</t>
        </is>
      </c>
      <c r="Q301" s="10" t="inlineStr"/>
      <c r="R301" s="11" t="inlineStr"/>
    </row>
    <row r="302" ht="72" customHeight="1">
      <c r="A302" s="5" t="inlineStr">
        <is>
          <t>TC-RPT-298</t>
        </is>
      </c>
      <c r="B302" s="5" t="inlineStr">
        <is>
          <t>passive_call_ratio</t>
        </is>
      </c>
      <c r="C302" s="5" t="inlineStr">
        <is>
          <t>被动跟注占比</t>
        </is>
      </c>
      <c r="D302" s="13" t="inlineStr">
        <is>
          <t>P1</t>
        </is>
      </c>
      <c r="E302" s="7" t="inlineStr">
        <is>
          <t>等价类划分法</t>
        </is>
      </c>
      <c r="F302" s="7" t="inlineStr">
        <is>
          <t>打法画像</t>
        </is>
      </c>
      <c r="G302" s="7" t="inlineStr">
        <is>
          <t>内部</t>
        </is>
      </c>
      <c r="H302" s="8" t="inlineStr">
        <is>
          <t>Hero 非弃牌动作中 call 的占比</t>
        </is>
      </c>
      <c r="I302" s="8" t="inlineStr">
        <is>
          <t>call 次数 / 所有非弃牌动作次数</t>
        </is>
      </c>
      <c r="J302" s="8" t="inlineStr">
        <is>
          <t>被动跟注占比正例-跟注除以非弃牌动作</t>
        </is>
      </c>
      <c r="K302" s="9" t="inlineStr">
        <is>
          <t>正例</t>
        </is>
      </c>
      <c r="L302" s="8" t="inlineStr">
        <is>
          <t>1、已登录，当前用户是 Hero。只用正例场。
2、素材里分子次数=a，分母次数=b，「被动跟注占比」应对=a/b</t>
        </is>
      </c>
      <c r="M302" s="8" t="inlineStr">
        <is>
          <t>1、上传素材，生成复盘报告，等到能打开。
2、打开「被动跟注占比」，检查是否为a/b。</t>
        </is>
      </c>
      <c r="N302" s="8" t="inlineStr">
        <is>
          <t>被动跟注占比=a/b</t>
        </is>
      </c>
      <c r="O302" s="8" t="inlineStr">
        <is>
          <t>style_profile_stats.passive_call_ratio</t>
        </is>
      </c>
      <c r="P302" s="10" t="inlineStr">
        <is>
          <t>未执行</t>
        </is>
      </c>
      <c r="Q302" s="10" t="inlineStr"/>
      <c r="R302" s="11" t="inlineStr"/>
    </row>
    <row r="303" ht="72" customHeight="1">
      <c r="A303" s="5" t="inlineStr">
        <is>
          <t>TC-RPT-299</t>
        </is>
      </c>
      <c r="B303" s="5" t="inlineStr">
        <is>
          <t>passive_call_ratio</t>
        </is>
      </c>
      <c r="C303" s="5" t="inlineStr">
        <is>
          <t>被动跟注占比</t>
        </is>
      </c>
      <c r="D303" s="13" t="inlineStr">
        <is>
          <t>P1</t>
        </is>
      </c>
      <c r="E303" s="7" t="inlineStr">
        <is>
          <t>等价类划分法</t>
        </is>
      </c>
      <c r="F303" s="7" t="inlineStr">
        <is>
          <t>打法画像</t>
        </is>
      </c>
      <c r="G303" s="7" t="inlineStr">
        <is>
          <t>内部</t>
        </is>
      </c>
      <c r="H303" s="8" t="inlineStr">
        <is>
          <t>Hero 非弃牌动作中 call 的占比</t>
        </is>
      </c>
      <c r="I303" s="8" t="inlineStr">
        <is>
          <t>call 次数 / 所有非弃牌动作次数</t>
        </is>
      </c>
      <c r="J303" s="8" t="inlineStr">
        <is>
          <t>被动跟注占比反例-弃牌误算分母</t>
        </is>
      </c>
      <c r="K303" s="12" t="inlineStr">
        <is>
          <t>反例</t>
        </is>
      </c>
      <c r="L303" s="8" t="inlineStr">
        <is>
          <t>1、已登录，当前用户是 Hero。准备下列不该计入的素材。
2、弃牌计入非弃牌动作分母，「被动跟注占比」仍=a/b</t>
        </is>
      </c>
      <c r="M303" s="8" t="inlineStr">
        <is>
          <t>1、上传素材，生成复盘报告，等到能打开。
2、打开「被动跟注占比」，检查是否为a/b。</t>
        </is>
      </c>
      <c r="N303" s="8" t="inlineStr">
        <is>
          <t>被动跟注占比=a/b</t>
        </is>
      </c>
      <c r="O303" s="8" t="inlineStr">
        <is>
          <t>style_profile_stats.passive_call_ratio</t>
        </is>
      </c>
      <c r="P303" s="10" t="inlineStr">
        <is>
          <t>未执行</t>
        </is>
      </c>
      <c r="Q303" s="10" t="inlineStr"/>
      <c r="R303" s="11" t="inlineStr"/>
    </row>
    <row r="304" ht="72" customHeight="1">
      <c r="A304" s="5" t="inlineStr">
        <is>
          <t>TC-RPT-300</t>
        </is>
      </c>
      <c r="B304" s="5" t="inlineStr">
        <is>
          <t>passive_call_ratio</t>
        </is>
      </c>
      <c r="C304" s="5" t="inlineStr">
        <is>
          <t>被动跟注占比</t>
        </is>
      </c>
      <c r="D304" s="13" t="inlineStr">
        <is>
          <t>P1</t>
        </is>
      </c>
      <c r="E304" s="7" t="inlineStr">
        <is>
          <t>边界值分析法</t>
        </is>
      </c>
      <c r="F304" s="7" t="inlineStr">
        <is>
          <t>打法画像</t>
        </is>
      </c>
      <c r="G304" s="7" t="inlineStr">
        <is>
          <t>内部</t>
        </is>
      </c>
      <c r="H304" s="8" t="inlineStr">
        <is>
          <t>Hero 非弃牌动作中 call 的占比</t>
        </is>
      </c>
      <c r="I304" s="8" t="inlineStr">
        <is>
          <t>call 次数 / 所有非弃牌动作次数</t>
        </is>
      </c>
      <c r="J304" s="8" t="inlineStr">
        <is>
          <t>被动跟注占比正例-单位与换算正确</t>
        </is>
      </c>
      <c r="K304" s="9" t="inlineStr">
        <is>
          <t>正例</t>
        </is>
      </c>
      <c r="L304" s="8" t="inlineStr">
        <is>
          <t>1、已登录，当前用户是 Hero。
2、各手筹码和大盲已记下，按该手换算后「被动跟注占比」=n</t>
        </is>
      </c>
      <c r="M304" s="8" t="inlineStr">
        <is>
          <t>1、上传素材，生成复盘报告，等到能打开。
2、打开「被动跟注占比」，检查是否为n。</t>
        </is>
      </c>
      <c r="N304" s="8" t="inlineStr">
        <is>
          <t>被动跟注占比=n</t>
        </is>
      </c>
      <c r="O304" s="8" t="inlineStr">
        <is>
          <t>style_profile_stats.passive_call_ratio</t>
        </is>
      </c>
      <c r="P304" s="10" t="inlineStr">
        <is>
          <t>未执行</t>
        </is>
      </c>
      <c r="Q304" s="10" t="inlineStr"/>
      <c r="R304" s="11" t="inlineStr"/>
    </row>
    <row r="305" ht="72" customHeight="1">
      <c r="A305" s="5" t="inlineStr">
        <is>
          <t>TC-RPT-301</t>
        </is>
      </c>
      <c r="B305" s="5" t="inlineStr">
        <is>
          <t>position_name</t>
        </is>
      </c>
      <c r="C305" s="5" t="inlineStr">
        <is>
          <t>真实位置</t>
        </is>
      </c>
      <c r="D305" s="6" t="inlineStr">
        <is>
          <t>P0</t>
        </is>
      </c>
      <c r="E305" s="7" t="inlineStr">
        <is>
          <t>正交试验法</t>
        </is>
      </c>
      <c r="F305" s="7" t="inlineStr">
        <is>
          <t>位置数据</t>
        </is>
      </c>
      <c r="G305" s="7" t="inlineStr">
        <is>
          <t>是</t>
        </is>
      </c>
      <c r="H305" s="8" t="inlineStr">
        <is>
          <t>Hero 所在真实牌桌位置</t>
        </is>
      </c>
      <c r="I305" s="8" t="inlineStr">
        <is>
          <t>BTN / CO / SB / BB / UTG / MP 等，按之前给的不同桌位置定义执行</t>
        </is>
      </c>
      <c r="J305" s="8" t="inlineStr">
        <is>
          <t>真实位置正例-9人桌8人入座Hero在按钮左第三席UTG+2</t>
        </is>
      </c>
      <c r="K305" s="9" t="inlineStr">
        <is>
          <t>正例</t>
        </is>
      </c>
      <c r="L305" s="8" t="inlineStr">
        <is>
          <t>1、已登录，当前用户是 Hero。只用正例场。
2、2人/6人/9人桌各一场，每场位置名按该人数映射，对应值=n</t>
        </is>
      </c>
      <c r="M305" s="8" t="inlineStr">
        <is>
          <t>1、上传素材，生成复盘报告，等到能打开。
2、打开「真实位置」，检查是否为n。</t>
        </is>
      </c>
      <c r="N305" s="8" t="inlineStr">
        <is>
          <t>真实位置=n</t>
        </is>
      </c>
      <c r="O305" s="8" t="inlineStr">
        <is>
          <t>position_stats[].position_name</t>
        </is>
      </c>
      <c r="P305" s="10" t="inlineStr">
        <is>
          <t>未执行</t>
        </is>
      </c>
      <c r="Q305" s="10" t="inlineStr"/>
      <c r="R305" s="11" t="inlineStr"/>
    </row>
    <row r="306" ht="72" customHeight="1">
      <c r="A306" s="5" t="inlineStr">
        <is>
          <t>TC-RPT-302</t>
        </is>
      </c>
      <c r="B306" s="5" t="inlineStr">
        <is>
          <t>position_name</t>
        </is>
      </c>
      <c r="C306" s="5" t="inlineStr">
        <is>
          <t>真实位置</t>
        </is>
      </c>
      <c r="D306" s="6" t="inlineStr">
        <is>
          <t>P0</t>
        </is>
      </c>
      <c r="E306" s="7" t="inlineStr">
        <is>
          <t>等价类划分法</t>
        </is>
      </c>
      <c r="F306" s="7" t="inlineStr">
        <is>
          <t>位置数据</t>
        </is>
      </c>
      <c r="G306" s="7" t="inlineStr">
        <is>
          <t>是</t>
        </is>
      </c>
      <c r="H306" s="8" t="inlineStr">
        <is>
          <t>Hero 所在真实牌桌位置</t>
        </is>
      </c>
      <c r="I306" s="8" t="inlineStr">
        <is>
          <t>BTN / CO / SB / BB / UTG / MP 等，按之前给的不同桌位置定义执行</t>
        </is>
      </c>
      <c r="J306" s="8" t="inlineStr">
        <is>
          <t>真实位置反例-9人桌8人入座Hero在按钮左第三席UTG+2</t>
        </is>
      </c>
      <c r="K306" s="12" t="inlineStr">
        <is>
          <t>反例</t>
        </is>
      </c>
      <c r="L306" s="8" t="inlineStr">
        <is>
          <t>1、已登录，当前用户是 Hero。准备下列不该计入的素材。
2、9人桌8人入座。Hero在按钮左第三席，按9人映射=UTG+2，「真实位置」仍=n</t>
        </is>
      </c>
      <c r="M306" s="8" t="inlineStr">
        <is>
          <t>1、上传素材，生成复盘报告，等到能打开。
2、打开「真实位置」，检查是否为n。</t>
        </is>
      </c>
      <c r="N306" s="8" t="inlineStr">
        <is>
          <t>真实位置=n</t>
        </is>
      </c>
      <c r="O306" s="8" t="inlineStr">
        <is>
          <t>position_stats[].position_name</t>
        </is>
      </c>
      <c r="P306" s="10" t="inlineStr">
        <is>
          <t>未执行</t>
        </is>
      </c>
      <c r="Q306" s="10" t="inlineStr"/>
      <c r="R306" s="11" t="inlineStr"/>
    </row>
    <row r="307" ht="72" customHeight="1">
      <c r="A307" s="5" t="inlineStr">
        <is>
          <t>TC-RPT-303</t>
        </is>
      </c>
      <c r="B307" s="5" t="inlineStr">
        <is>
          <t>hands_by_position</t>
        </is>
      </c>
      <c r="C307" s="5" t="inlineStr">
        <is>
          <t>各位置手数</t>
        </is>
      </c>
      <c r="D307" s="13" t="inlineStr">
        <is>
          <t>P1</t>
        </is>
      </c>
      <c r="E307" s="7" t="inlineStr">
        <is>
          <t>正交试验法</t>
        </is>
      </c>
      <c r="F307" s="7" t="inlineStr">
        <is>
          <t>位置数据</t>
        </is>
      </c>
      <c r="G307" s="7" t="inlineStr">
        <is>
          <t>内部</t>
        </is>
      </c>
      <c r="H307" s="8" t="inlineStr">
        <is>
          <t>Hero 在各位置出现次数</t>
        </is>
      </c>
      <c r="I307" s="8" t="inlineStr">
        <is>
          <t>按 hero_position 分组计数</t>
        </is>
      </c>
      <c r="J307" s="8" t="inlineStr">
        <is>
          <t>各位置手数正例-各座位手数分组计数</t>
        </is>
      </c>
      <c r="K307" s="9" t="inlineStr">
        <is>
          <t>正例</t>
        </is>
      </c>
      <c r="L307" s="8" t="inlineStr">
        <is>
          <t>1、已登录，当前用户是 Hero。只用正例场。
2、2人/6人/9人桌各一场，每场位置名按该人数映射，对应值=n</t>
        </is>
      </c>
      <c r="M307" s="8" t="inlineStr">
        <is>
          <t>1、上传素材，生成复盘报告，等到能打开。
2、打开「各位置手数」，检查是否为n。</t>
        </is>
      </c>
      <c r="N307" s="8" t="inlineStr">
        <is>
          <t>各位置手数=n</t>
        </is>
      </c>
      <c r="O307" s="8" t="inlineStr">
        <is>
          <t>position_stats[].hands_by_position</t>
        </is>
      </c>
      <c r="P307" s="10" t="inlineStr">
        <is>
          <t>未执行</t>
        </is>
      </c>
      <c r="Q307" s="10" t="inlineStr"/>
      <c r="R307" s="11" t="inlineStr"/>
    </row>
    <row r="308" ht="72" customHeight="1">
      <c r="A308" s="5" t="inlineStr">
        <is>
          <t>TC-RPT-304</t>
        </is>
      </c>
      <c r="B308" s="5" t="inlineStr">
        <is>
          <t>hands_by_position</t>
        </is>
      </c>
      <c r="C308" s="5" t="inlineStr">
        <is>
          <t>各位置手数</t>
        </is>
      </c>
      <c r="D308" s="13" t="inlineStr">
        <is>
          <t>P1</t>
        </is>
      </c>
      <c r="E308" s="7" t="inlineStr">
        <is>
          <t>边界值分析法</t>
        </is>
      </c>
      <c r="F308" s="7" t="inlineStr">
        <is>
          <t>位置数据</t>
        </is>
      </c>
      <c r="G308" s="7" t="inlineStr">
        <is>
          <t>内部</t>
        </is>
      </c>
      <c r="H308" s="8" t="inlineStr">
        <is>
          <t>Hero 在各位置出现次数</t>
        </is>
      </c>
      <c r="I308" s="8" t="inlineStr">
        <is>
          <t>按 hero_position 分组计数</t>
        </is>
      </c>
      <c r="J308" s="8" t="inlineStr">
        <is>
          <t>各位置手数反例-分母为0字段不出现</t>
        </is>
      </c>
      <c r="K308" s="12" t="inlineStr">
        <is>
          <t>反例</t>
        </is>
      </c>
      <c r="L308" s="8" t="inlineStr">
        <is>
          <t>1、已登录，当前用户是 Hero。
2、本场分母次数为 0。「各位置手数」应为空或不出现，不能写成 0% 或 100%。</t>
        </is>
      </c>
      <c r="M308" s="8" t="inlineStr">
        <is>
          <t>1、上传素材，生成复盘报告，等到能打开。
2、打开「各位置手数」，检查是否为空或不出现。</t>
        </is>
      </c>
      <c r="N308" s="8" t="inlineStr">
        <is>
          <t>各位置手数为空或不出现</t>
        </is>
      </c>
      <c r="O308" s="8" t="inlineStr">
        <is>
          <t>position_stats[].hands_by_position</t>
        </is>
      </c>
      <c r="P308" s="10" t="inlineStr">
        <is>
          <t>未执行</t>
        </is>
      </c>
      <c r="Q308" s="10" t="inlineStr"/>
      <c r="R308" s="11" t="inlineStr"/>
    </row>
    <row r="309" ht="72" customHeight="1">
      <c r="A309" s="5" t="inlineStr">
        <is>
          <t>TC-RPT-305</t>
        </is>
      </c>
      <c r="B309" s="5" t="inlineStr">
        <is>
          <t>played_by_position</t>
        </is>
      </c>
      <c r="C309" s="5" t="inlineStr">
        <is>
          <t>各位置参与手数</t>
        </is>
      </c>
      <c r="D309" s="13" t="inlineStr">
        <is>
          <t>P1</t>
        </is>
      </c>
      <c r="E309" s="7" t="inlineStr">
        <is>
          <t>正交试验法</t>
        </is>
      </c>
      <c r="F309" s="7" t="inlineStr">
        <is>
          <t>位置数据</t>
        </is>
      </c>
      <c r="G309" s="7" t="inlineStr">
        <is>
          <t>内部</t>
        </is>
      </c>
      <c r="H309" s="8" t="inlineStr">
        <is>
          <t>Hero 各位置入池手数</t>
        </is>
      </c>
      <c r="I309" s="8" t="inlineStr">
        <is>
          <t>按 hero_position 分组统计参与手数</t>
        </is>
      </c>
      <c r="J309" s="8" t="inlineStr">
        <is>
          <t>各位置参与手数正例-各座位参与手数分组</t>
        </is>
      </c>
      <c r="K309" s="9" t="inlineStr">
        <is>
          <t>正例</t>
        </is>
      </c>
      <c r="L309" s="8" t="inlineStr">
        <is>
          <t>1、已登录，当前用户是 Hero。只用正例场。
2、2人/6人/9人桌各一场，每场位置名按该人数映射，对应值=n</t>
        </is>
      </c>
      <c r="M309" s="8" t="inlineStr">
        <is>
          <t>1、上传素材，生成复盘报告，等到能打开。
2、打开「各位置参与手数」，检查是否为n。</t>
        </is>
      </c>
      <c r="N309" s="8" t="inlineStr">
        <is>
          <t>各位置参与手数=n</t>
        </is>
      </c>
      <c r="O309" s="8" t="inlineStr">
        <is>
          <t>position_stats[].played_by_position</t>
        </is>
      </c>
      <c r="P309" s="10" t="inlineStr">
        <is>
          <t>未执行</t>
        </is>
      </c>
      <c r="Q309" s="10" t="inlineStr"/>
      <c r="R309" s="11" t="inlineStr"/>
    </row>
    <row r="310" ht="72" customHeight="1">
      <c r="A310" s="5" t="inlineStr">
        <is>
          <t>TC-RPT-306</t>
        </is>
      </c>
      <c r="B310" s="5" t="inlineStr">
        <is>
          <t>played_by_position</t>
        </is>
      </c>
      <c r="C310" s="5" t="inlineStr">
        <is>
          <t>各位置参与手数</t>
        </is>
      </c>
      <c r="D310" s="13" t="inlineStr">
        <is>
          <t>P1</t>
        </is>
      </c>
      <c r="E310" s="7" t="inlineStr">
        <is>
          <t>边界值分析法</t>
        </is>
      </c>
      <c r="F310" s="7" t="inlineStr">
        <is>
          <t>位置数据</t>
        </is>
      </c>
      <c r="G310" s="7" t="inlineStr">
        <is>
          <t>内部</t>
        </is>
      </c>
      <c r="H310" s="8" t="inlineStr">
        <is>
          <t>Hero 各位置入池手数</t>
        </is>
      </c>
      <c r="I310" s="8" t="inlineStr">
        <is>
          <t>按 hero_position 分组统计参与手数</t>
        </is>
      </c>
      <c r="J310" s="8" t="inlineStr">
        <is>
          <t>各位置参与手数反例-分母为0字段不出现</t>
        </is>
      </c>
      <c r="K310" s="12" t="inlineStr">
        <is>
          <t>反例</t>
        </is>
      </c>
      <c r="L310" s="8" t="inlineStr">
        <is>
          <t>1、已登录，当前用户是 Hero。
2、本场分母次数为 0。「各位置参与手数」应为空或不出现，不能写成 0% 或 100%。</t>
        </is>
      </c>
      <c r="M310" s="8" t="inlineStr">
        <is>
          <t>1、上传素材，生成复盘报告，等到能打开。
2、打开「各位置参与手数」，检查是否为空或不出现。</t>
        </is>
      </c>
      <c r="N310" s="8" t="inlineStr">
        <is>
          <t>各位置参与手数为空或不出现</t>
        </is>
      </c>
      <c r="O310" s="8" t="inlineStr">
        <is>
          <t>position_stats[].played_by_position</t>
        </is>
      </c>
      <c r="P310" s="10" t="inlineStr">
        <is>
          <t>未执行</t>
        </is>
      </c>
      <c r="Q310" s="10" t="inlineStr"/>
      <c r="R310" s="11" t="inlineStr"/>
    </row>
    <row r="311" ht="72" customHeight="1">
      <c r="A311" s="5" t="inlineStr">
        <is>
          <t>TC-RPT-307</t>
        </is>
      </c>
      <c r="B311" s="5" t="inlineStr">
        <is>
          <t>vpip_by_position</t>
        </is>
      </c>
      <c r="C311" s="5" t="inlineStr">
        <is>
          <t>各位置入池率</t>
        </is>
      </c>
      <c r="D311" s="13" t="inlineStr">
        <is>
          <t>P1</t>
        </is>
      </c>
      <c r="E311" s="7" t="inlineStr">
        <is>
          <t>正交试验法</t>
        </is>
      </c>
      <c r="F311" s="7" t="inlineStr">
        <is>
          <t>位置数据</t>
        </is>
      </c>
      <c r="G311" s="7" t="inlineStr">
        <is>
          <t>内部</t>
        </is>
      </c>
      <c r="H311" s="8" t="inlineStr">
        <is>
          <t>Hero 各位置 VPIP</t>
        </is>
      </c>
      <c r="I311" s="8" t="inlineStr">
        <is>
          <t>played_by_position / hands_by_position</t>
        </is>
      </c>
      <c r="J311" s="8" t="inlineStr">
        <is>
          <t>各位置入池率正例-各座位主动参与率独立计算</t>
        </is>
      </c>
      <c r="K311" s="9" t="inlineStr">
        <is>
          <t>正例</t>
        </is>
      </c>
      <c r="L311" s="8" t="inlineStr">
        <is>
          <t>1、已登录，当前用户是 Hero。只用正例场。
2、2人/6人/9人桌各一场，每场位置名按该人数映射，对应值=n</t>
        </is>
      </c>
      <c r="M311" s="8" t="inlineStr">
        <is>
          <t>1、上传素材，生成复盘报告，等到能打开。
2、打开「各位置入池率」，检查是否为n。</t>
        </is>
      </c>
      <c r="N311" s="8" t="inlineStr">
        <is>
          <t>各位置入池率=n</t>
        </is>
      </c>
      <c r="O311" s="8" t="inlineStr">
        <is>
          <t>position_stats[].vpip_by_position</t>
        </is>
      </c>
      <c r="P311" s="10" t="inlineStr">
        <is>
          <t>未执行</t>
        </is>
      </c>
      <c r="Q311" s="10" t="inlineStr"/>
      <c r="R311" s="11" t="inlineStr"/>
    </row>
    <row r="312" ht="72" customHeight="1">
      <c r="A312" s="5" t="inlineStr">
        <is>
          <t>TC-RPT-308</t>
        </is>
      </c>
      <c r="B312" s="5" t="inlineStr">
        <is>
          <t>vpip_by_position</t>
        </is>
      </c>
      <c r="C312" s="5" t="inlineStr">
        <is>
          <t>各位置入池率</t>
        </is>
      </c>
      <c r="D312" s="13" t="inlineStr">
        <is>
          <t>P1</t>
        </is>
      </c>
      <c r="E312" s="7" t="inlineStr">
        <is>
          <t>边界值分析法</t>
        </is>
      </c>
      <c r="F312" s="7" t="inlineStr">
        <is>
          <t>位置数据</t>
        </is>
      </c>
      <c r="G312" s="7" t="inlineStr">
        <is>
          <t>内部</t>
        </is>
      </c>
      <c r="H312" s="8" t="inlineStr">
        <is>
          <t>Hero 各位置 VPIP</t>
        </is>
      </c>
      <c r="I312" s="8" t="inlineStr">
        <is>
          <t>played_by_position / hands_by_position</t>
        </is>
      </c>
      <c r="J312" s="8" t="inlineStr">
        <is>
          <t>各位置入池率反例-分母为0字段不出现</t>
        </is>
      </c>
      <c r="K312" s="12" t="inlineStr">
        <is>
          <t>反例</t>
        </is>
      </c>
      <c r="L312" s="8" t="inlineStr">
        <is>
          <t>1、已登录，当前用户是 Hero。
2、某位置手数为 0：该组省略或 null。「各位置入池率」应为空或不出现，不能写成 0% 或 100%。</t>
        </is>
      </c>
      <c r="M312" s="8" t="inlineStr">
        <is>
          <t>1、上传素材，生成复盘报告，等到能打开。
2、打开「各位置入池率」，检查是否为空或不出现。</t>
        </is>
      </c>
      <c r="N312" s="8" t="inlineStr">
        <is>
          <t>各位置入池率为空或不出现</t>
        </is>
      </c>
      <c r="O312" s="8" t="inlineStr">
        <is>
          <t>position_stats[].vpip_by_position</t>
        </is>
      </c>
      <c r="P312" s="10" t="inlineStr">
        <is>
          <t>未执行</t>
        </is>
      </c>
      <c r="Q312" s="10" t="inlineStr"/>
      <c r="R312" s="11" t="inlineStr"/>
    </row>
    <row r="313" ht="72" customHeight="1">
      <c r="A313" s="5" t="inlineStr">
        <is>
          <t>TC-RPT-309</t>
        </is>
      </c>
      <c r="B313" s="5" t="inlineStr">
        <is>
          <t>vpip_by_position</t>
        </is>
      </c>
      <c r="C313" s="5" t="inlineStr">
        <is>
          <t>各位置入池率</t>
        </is>
      </c>
      <c r="D313" s="13" t="inlineStr">
        <is>
          <t>P1</t>
        </is>
      </c>
      <c r="E313" s="7" t="inlineStr">
        <is>
          <t>边界值分析法</t>
        </is>
      </c>
      <c r="F313" s="7" t="inlineStr">
        <is>
          <t>位置数据</t>
        </is>
      </c>
      <c r="G313" s="7" t="inlineStr">
        <is>
          <t>内部</t>
        </is>
      </c>
      <c r="H313" s="8" t="inlineStr">
        <is>
          <t>Hero 各位置 VPIP</t>
        </is>
      </c>
      <c r="I313" s="8" t="inlineStr">
        <is>
          <t>played_by_position / hands_by_position</t>
        </is>
      </c>
      <c r="J313" s="8" t="inlineStr">
        <is>
          <t>各位置入池率正例-单位与换算正确</t>
        </is>
      </c>
      <c r="K313" s="9" t="inlineStr">
        <is>
          <t>正例</t>
        </is>
      </c>
      <c r="L313" s="8" t="inlineStr">
        <is>
          <t>1、已登录，当前用户是 Hero。
2、各手筹码和大盲已记下，按该手换算后「各位置入池率」=n</t>
        </is>
      </c>
      <c r="M313" s="8" t="inlineStr">
        <is>
          <t>1、上传素材，生成复盘报告，等到能打开。
2、打开「各位置入池率」，检查是否为n。</t>
        </is>
      </c>
      <c r="N313" s="8" t="inlineStr">
        <is>
          <t>各位置入池率=n</t>
        </is>
      </c>
      <c r="O313" s="8" t="inlineStr">
        <is>
          <t>position_stats[].vpip_by_position</t>
        </is>
      </c>
      <c r="P313" s="10" t="inlineStr">
        <is>
          <t>未执行</t>
        </is>
      </c>
      <c r="Q313" s="10" t="inlineStr"/>
      <c r="R313" s="11" t="inlineStr"/>
    </row>
    <row r="314" ht="72" customHeight="1">
      <c r="A314" s="5" t="inlineStr">
        <is>
          <t>TC-RPT-310</t>
        </is>
      </c>
      <c r="B314" s="5" t="inlineStr">
        <is>
          <t>pfr_by_position</t>
        </is>
      </c>
      <c r="C314" s="5" t="inlineStr">
        <is>
          <t>各位置加注率</t>
        </is>
      </c>
      <c r="D314" s="13" t="inlineStr">
        <is>
          <t>P1</t>
        </is>
      </c>
      <c r="E314" s="7" t="inlineStr">
        <is>
          <t>正交试验法</t>
        </is>
      </c>
      <c r="F314" s="7" t="inlineStr">
        <is>
          <t>位置数据</t>
        </is>
      </c>
      <c r="G314" s="7" t="inlineStr">
        <is>
          <t>内部</t>
        </is>
      </c>
      <c r="H314" s="8" t="inlineStr">
        <is>
          <t>Hero 各位置翻前主动加注频率</t>
        </is>
      </c>
      <c r="I314" s="8" t="inlineStr">
        <is>
          <t>该位置翻前加注次数 / hands_by_position</t>
        </is>
      </c>
      <c r="J314" s="8" t="inlineStr">
        <is>
          <t>各位置加注率正例-各座位翻前加注率独立计算</t>
        </is>
      </c>
      <c r="K314" s="9" t="inlineStr">
        <is>
          <t>正例</t>
        </is>
      </c>
      <c r="L314" s="8" t="inlineStr">
        <is>
          <t>1、已登录，当前用户是 Hero。只用正例场。
2、2人/6人/9人桌各一场，每场位置名按该人数映射，对应值=n</t>
        </is>
      </c>
      <c r="M314" s="8" t="inlineStr">
        <is>
          <t>1、上传素材，生成复盘报告，等到能打开。
2、打开「各位置加注率」，检查是否为n。</t>
        </is>
      </c>
      <c r="N314" s="8" t="inlineStr">
        <is>
          <t>各位置加注率=n</t>
        </is>
      </c>
      <c r="O314" s="8" t="inlineStr">
        <is>
          <t>position_stats[].pfr_by_position</t>
        </is>
      </c>
      <c r="P314" s="10" t="inlineStr">
        <is>
          <t>未执行</t>
        </is>
      </c>
      <c r="Q314" s="10" t="inlineStr"/>
      <c r="R314" s="11" t="inlineStr"/>
    </row>
    <row r="315" ht="72" customHeight="1">
      <c r="A315" s="5" t="inlineStr">
        <is>
          <t>TC-RPT-311</t>
        </is>
      </c>
      <c r="B315" s="5" t="inlineStr">
        <is>
          <t>pfr_by_position</t>
        </is>
      </c>
      <c r="C315" s="5" t="inlineStr">
        <is>
          <t>各位置加注率</t>
        </is>
      </c>
      <c r="D315" s="13" t="inlineStr">
        <is>
          <t>P1</t>
        </is>
      </c>
      <c r="E315" s="7" t="inlineStr">
        <is>
          <t>边界值分析法</t>
        </is>
      </c>
      <c r="F315" s="7" t="inlineStr">
        <is>
          <t>位置数据</t>
        </is>
      </c>
      <c r="G315" s="7" t="inlineStr">
        <is>
          <t>内部</t>
        </is>
      </c>
      <c r="H315" s="8" t="inlineStr">
        <is>
          <t>Hero 各位置翻前主动加注频率</t>
        </is>
      </c>
      <c r="I315" s="8" t="inlineStr">
        <is>
          <t>该位置翻前加注次数 / hands_by_position</t>
        </is>
      </c>
      <c r="J315" s="8" t="inlineStr">
        <is>
          <t>各位置加注率反例-分母为0字段不出现</t>
        </is>
      </c>
      <c r="K315" s="12" t="inlineStr">
        <is>
          <t>反例</t>
        </is>
      </c>
      <c r="L315" s="8" t="inlineStr">
        <is>
          <t>1、已登录，当前用户是 Hero。
2、该位置 0 手。「各位置加注率」应为空或不出现，不能写成 0% 或 100%。</t>
        </is>
      </c>
      <c r="M315" s="8" t="inlineStr">
        <is>
          <t>1、上传素材，生成复盘报告，等到能打开。
2、打开「各位置加注率」，检查是否为空或不出现。</t>
        </is>
      </c>
      <c r="N315" s="8" t="inlineStr">
        <is>
          <t>各位置加注率为空或不出现</t>
        </is>
      </c>
      <c r="O315" s="8" t="inlineStr">
        <is>
          <t>position_stats[].pfr_by_position</t>
        </is>
      </c>
      <c r="P315" s="10" t="inlineStr">
        <is>
          <t>未执行</t>
        </is>
      </c>
      <c r="Q315" s="10" t="inlineStr"/>
      <c r="R315" s="11" t="inlineStr"/>
    </row>
    <row r="316" ht="72" customHeight="1">
      <c r="A316" s="5" t="inlineStr">
        <is>
          <t>TC-RPT-312</t>
        </is>
      </c>
      <c r="B316" s="5" t="inlineStr">
        <is>
          <t>pfr_by_position</t>
        </is>
      </c>
      <c r="C316" s="5" t="inlineStr">
        <is>
          <t>各位置加注率</t>
        </is>
      </c>
      <c r="D316" s="13" t="inlineStr">
        <is>
          <t>P1</t>
        </is>
      </c>
      <c r="E316" s="7" t="inlineStr">
        <is>
          <t>边界值分析法</t>
        </is>
      </c>
      <c r="F316" s="7" t="inlineStr">
        <is>
          <t>位置数据</t>
        </is>
      </c>
      <c r="G316" s="7" t="inlineStr">
        <is>
          <t>内部</t>
        </is>
      </c>
      <c r="H316" s="8" t="inlineStr">
        <is>
          <t>Hero 各位置翻前主动加注频率</t>
        </is>
      </c>
      <c r="I316" s="8" t="inlineStr">
        <is>
          <t>该位置翻前加注次数 / hands_by_position</t>
        </is>
      </c>
      <c r="J316" s="8" t="inlineStr">
        <is>
          <t>各位置加注率正例-单位与换算正确</t>
        </is>
      </c>
      <c r="K316" s="9" t="inlineStr">
        <is>
          <t>正例</t>
        </is>
      </c>
      <c r="L316" s="8" t="inlineStr">
        <is>
          <t>1、已登录，当前用户是 Hero。
2、各手筹码和大盲已记下，按该手换算后「各位置加注率」=n</t>
        </is>
      </c>
      <c r="M316" s="8" t="inlineStr">
        <is>
          <t>1、上传素材，生成复盘报告，等到能打开。
2、打开「各位置加注率」，检查是否为n。</t>
        </is>
      </c>
      <c r="N316" s="8" t="inlineStr">
        <is>
          <t>各位置加注率=n</t>
        </is>
      </c>
      <c r="O316" s="8" t="inlineStr">
        <is>
          <t>position_stats[].pfr_by_position</t>
        </is>
      </c>
      <c r="P316" s="10" t="inlineStr">
        <is>
          <t>未执行</t>
        </is>
      </c>
      <c r="Q316" s="10" t="inlineStr"/>
      <c r="R316" s="11" t="inlineStr"/>
    </row>
    <row r="317" ht="72" customHeight="1">
      <c r="A317" s="5" t="inlineStr">
        <is>
          <t>TC-RPT-313</t>
        </is>
      </c>
      <c r="B317" s="5" t="inlineStr">
        <is>
          <t>call_by_position</t>
        </is>
      </c>
      <c r="C317" s="5" t="inlineStr">
        <is>
          <t>各位置跟注率</t>
        </is>
      </c>
      <c r="D317" s="14" t="inlineStr">
        <is>
          <t>P2</t>
        </is>
      </c>
      <c r="E317" s="7" t="inlineStr">
        <is>
          <t>正交试验法</t>
        </is>
      </c>
      <c r="F317" s="7" t="inlineStr">
        <is>
          <t>位置数据</t>
        </is>
      </c>
      <c r="G317" s="7" t="inlineStr">
        <is>
          <t>内部</t>
        </is>
      </c>
      <c r="H317" s="8" t="inlineStr">
        <is>
          <t>Hero 各位置平跟倾向</t>
        </is>
      </c>
      <c r="I317" s="8" t="inlineStr">
        <is>
          <t>该位置 call 次数 / 可 call 次数</t>
        </is>
      </c>
      <c r="J317" s="8" t="inlineStr">
        <is>
          <t>各位置跟注率正例-各座位跟注率独立计算</t>
        </is>
      </c>
      <c r="K317" s="9" t="inlineStr">
        <is>
          <t>正例</t>
        </is>
      </c>
      <c r="L317" s="8" t="inlineStr">
        <is>
          <t>1、已登录，当前用户是 Hero。只用正例场。
2、2人/6人/9人桌各一场，每场位置名按该人数映射，对应值=n</t>
        </is>
      </c>
      <c r="M317" s="8" t="inlineStr">
        <is>
          <t>1、上传素材，生成复盘报告，等到能打开。
2、打开「各位置跟注率」，检查是否为n。</t>
        </is>
      </c>
      <c r="N317" s="8" t="inlineStr">
        <is>
          <t>各位置跟注率=n</t>
        </is>
      </c>
      <c r="O317" s="8" t="inlineStr">
        <is>
          <t>position_stats[].call_by_position</t>
        </is>
      </c>
      <c r="P317" s="10" t="inlineStr">
        <is>
          <t>未执行</t>
        </is>
      </c>
      <c r="Q317" s="10" t="inlineStr"/>
      <c r="R317" s="11" t="inlineStr"/>
    </row>
    <row r="318" ht="72" customHeight="1">
      <c r="A318" s="5" t="inlineStr">
        <is>
          <t>TC-RPT-314</t>
        </is>
      </c>
      <c r="B318" s="5" t="inlineStr">
        <is>
          <t>call_by_position</t>
        </is>
      </c>
      <c r="C318" s="5" t="inlineStr">
        <is>
          <t>各位置跟注率</t>
        </is>
      </c>
      <c r="D318" s="14" t="inlineStr">
        <is>
          <t>P2</t>
        </is>
      </c>
      <c r="E318" s="7" t="inlineStr">
        <is>
          <t>边界值分析法</t>
        </is>
      </c>
      <c r="F318" s="7" t="inlineStr">
        <is>
          <t>位置数据</t>
        </is>
      </c>
      <c r="G318" s="7" t="inlineStr">
        <is>
          <t>内部</t>
        </is>
      </c>
      <c r="H318" s="8" t="inlineStr">
        <is>
          <t>Hero 各位置平跟倾向</t>
        </is>
      </c>
      <c r="I318" s="8" t="inlineStr">
        <is>
          <t>该位置 call 次数 / 可 call 次数</t>
        </is>
      </c>
      <c r="J318" s="8" t="inlineStr">
        <is>
          <t>各位置跟注率反例-分母为0字段不出现</t>
        </is>
      </c>
      <c r="K318" s="12" t="inlineStr">
        <is>
          <t>反例</t>
        </is>
      </c>
      <c r="L318" s="8" t="inlineStr">
        <is>
          <t>1、已登录，当前用户是 Hero。
2、该位置没有面对下注可跟的手。「各位置跟注率」应为空或不出现，不能写成 0% 或 100%。</t>
        </is>
      </c>
      <c r="M318" s="8" t="inlineStr">
        <is>
          <t>1、上传素材，生成复盘报告，等到能打开。
2、打开「各位置跟注率」，检查是否为空或不出现。</t>
        </is>
      </c>
      <c r="N318" s="8" t="inlineStr">
        <is>
          <t>各位置跟注率为空或不出现</t>
        </is>
      </c>
      <c r="O318" s="8" t="inlineStr">
        <is>
          <t>position_stats[].call_by_position</t>
        </is>
      </c>
      <c r="P318" s="10" t="inlineStr">
        <is>
          <t>未执行</t>
        </is>
      </c>
      <c r="Q318" s="10" t="inlineStr"/>
      <c r="R318" s="11" t="inlineStr"/>
    </row>
    <row r="319" ht="72" customHeight="1">
      <c r="A319" s="5" t="inlineStr">
        <is>
          <t>TC-RPT-315</t>
        </is>
      </c>
      <c r="B319" s="5" t="inlineStr">
        <is>
          <t>profit_by_position</t>
        </is>
      </c>
      <c r="C319" s="5" t="inlineStr">
        <is>
          <t>各位置盈亏</t>
        </is>
      </c>
      <c r="D319" s="13" t="inlineStr">
        <is>
          <t>P1</t>
        </is>
      </c>
      <c r="E319" s="7" t="inlineStr">
        <is>
          <t>正交试验法</t>
        </is>
      </c>
      <c r="F319" s="7" t="inlineStr">
        <is>
          <t>位置数据</t>
        </is>
      </c>
      <c r="G319" s="7" t="inlineStr">
        <is>
          <t>是</t>
        </is>
      </c>
      <c r="H319" s="8" t="inlineStr">
        <is>
          <t>Hero 各位置净盈亏</t>
        </is>
      </c>
      <c r="I319" s="8" t="inlineStr">
        <is>
          <t>该位置所有单手盈亏汇总</t>
        </is>
      </c>
      <c r="J319" s="8" t="inlineStr">
        <is>
          <t>各位置盈亏正例-各座位筹码盈亏加总</t>
        </is>
      </c>
      <c r="K319" s="9" t="inlineStr">
        <is>
          <t>正例</t>
        </is>
      </c>
      <c r="L319" s="8" t="inlineStr">
        <is>
          <t>1、已登录，当前用户是 Hero。只用正例场。
2、2人/6人/9人桌各一场，每场位置名按该人数映射，对应值=n</t>
        </is>
      </c>
      <c r="M319" s="8" t="inlineStr">
        <is>
          <t>1、上传素材，生成复盘报告，等到能打开。
2、打开「各位置盈亏」，检查是否为n。</t>
        </is>
      </c>
      <c r="N319" s="8" t="inlineStr">
        <is>
          <t>各位置盈亏=n</t>
        </is>
      </c>
      <c r="O319" s="8" t="inlineStr">
        <is>
          <t>position_stats[].profit_by_position</t>
        </is>
      </c>
      <c r="P319" s="10" t="inlineStr">
        <is>
          <t>未执行</t>
        </is>
      </c>
      <c r="Q319" s="10" t="inlineStr"/>
      <c r="R319" s="11" t="inlineStr"/>
    </row>
    <row r="320" ht="72" customHeight="1">
      <c r="A320" s="5" t="inlineStr">
        <is>
          <t>TC-RPT-316</t>
        </is>
      </c>
      <c r="B320" s="5" t="inlineStr">
        <is>
          <t>profit_by_position</t>
        </is>
      </c>
      <c r="C320" s="5" t="inlineStr">
        <is>
          <t>各位置盈亏</t>
        </is>
      </c>
      <c r="D320" s="13" t="inlineStr">
        <is>
          <t>P1</t>
        </is>
      </c>
      <c r="E320" s="7" t="inlineStr">
        <is>
          <t>边界值分析法</t>
        </is>
      </c>
      <c r="F320" s="7" t="inlineStr">
        <is>
          <t>位置数据</t>
        </is>
      </c>
      <c r="G320" s="7" t="inlineStr">
        <is>
          <t>是</t>
        </is>
      </c>
      <c r="H320" s="8" t="inlineStr">
        <is>
          <t>Hero 各位置净盈亏</t>
        </is>
      </c>
      <c r="I320" s="8" t="inlineStr">
        <is>
          <t>该位置所有单手盈亏汇总</t>
        </is>
      </c>
      <c r="J320" s="8" t="inlineStr">
        <is>
          <t>各位置盈亏反例-分母为0字段不出现</t>
        </is>
      </c>
      <c r="K320" s="12" t="inlineStr">
        <is>
          <t>反例</t>
        </is>
      </c>
      <c r="L320" s="8" t="inlineStr">
        <is>
          <t>1、已登录，当前用户是 Hero。
2、本场分母次数为 0。「各位置盈亏」应为空或不出现，不能写成 0% 或 100%。</t>
        </is>
      </c>
      <c r="M320" s="8" t="inlineStr">
        <is>
          <t>1、上传素材，生成复盘报告，等到能打开。
2、打开「各位置盈亏」，检查是否为空或不出现。</t>
        </is>
      </c>
      <c r="N320" s="8" t="inlineStr">
        <is>
          <t>各位置盈亏为空或不出现</t>
        </is>
      </c>
      <c r="O320" s="8" t="inlineStr">
        <is>
          <t>position_stats[].profit_by_position</t>
        </is>
      </c>
      <c r="P320" s="10" t="inlineStr">
        <is>
          <t>未执行</t>
        </is>
      </c>
      <c r="Q320" s="10" t="inlineStr"/>
      <c r="R320" s="11" t="inlineStr"/>
    </row>
    <row r="321" ht="72" customHeight="1">
      <c r="A321" s="5" t="inlineStr">
        <is>
          <t>TC-RPT-317</t>
        </is>
      </c>
      <c r="B321" s="5" t="inlineStr">
        <is>
          <t>ev_by_position</t>
        </is>
      </c>
      <c r="C321" s="5" t="inlineStr">
        <is>
          <t>各位置期望值</t>
        </is>
      </c>
      <c r="D321" s="14" t="inlineStr">
        <is>
          <t>P2</t>
        </is>
      </c>
      <c r="E321" s="7" t="inlineStr">
        <is>
          <t>正交试验法</t>
        </is>
      </c>
      <c r="F321" s="7" t="inlineStr">
        <is>
          <t>位置数据</t>
        </is>
      </c>
      <c r="G321" s="7" t="inlineStr">
        <is>
          <t>内部</t>
        </is>
      </c>
      <c r="H321" s="8" t="inlineStr">
        <is>
          <t>Hero 各位置 EV 表现</t>
        </is>
      </c>
      <c r="I321" s="8" t="inlineStr">
        <is>
          <t>该位置单手 EV 汇总 per_hand_ev</t>
        </is>
      </c>
      <c r="J321" s="8" t="inlineStr">
        <is>
          <t>各位置期望值正例-各座位EV加总</t>
        </is>
      </c>
      <c r="K321" s="9" t="inlineStr">
        <is>
          <t>正例</t>
        </is>
      </c>
      <c r="L321" s="8" t="inlineStr">
        <is>
          <t>1、已登录，当前用户是 Hero。只用正例场。
2、2人/6人/9人桌各一场，每场位置名按该人数映射，对应值=n</t>
        </is>
      </c>
      <c r="M321" s="8" t="inlineStr">
        <is>
          <t>1、上传素材，生成复盘报告，等到能打开。
2、打开「各位置期望值」，检查是否为n。</t>
        </is>
      </c>
      <c r="N321" s="8" t="inlineStr">
        <is>
          <t>各位置期望值=n</t>
        </is>
      </c>
      <c r="O321" s="8" t="inlineStr">
        <is>
          <t>position_stats[].ev_by_position</t>
        </is>
      </c>
      <c r="P321" s="10" t="inlineStr">
        <is>
          <t>未执行</t>
        </is>
      </c>
      <c r="Q321" s="10" t="inlineStr"/>
      <c r="R321" s="11" t="inlineStr"/>
    </row>
    <row r="322" ht="72" customHeight="1">
      <c r="A322" s="5" t="inlineStr">
        <is>
          <t>TC-RPT-318</t>
        </is>
      </c>
      <c r="B322" s="5" t="inlineStr">
        <is>
          <t>ev_by_position</t>
        </is>
      </c>
      <c r="C322" s="5" t="inlineStr">
        <is>
          <t>各位置期望值</t>
        </is>
      </c>
      <c r="D322" s="14" t="inlineStr">
        <is>
          <t>P2</t>
        </is>
      </c>
      <c r="E322" s="7" t="inlineStr">
        <is>
          <t>边界值分析法</t>
        </is>
      </c>
      <c r="F322" s="7" t="inlineStr">
        <is>
          <t>位置数据</t>
        </is>
      </c>
      <c r="G322" s="7" t="inlineStr">
        <is>
          <t>内部</t>
        </is>
      </c>
      <c r="H322" s="8" t="inlineStr">
        <is>
          <t>Hero 各位置 EV 表现</t>
        </is>
      </c>
      <c r="I322" s="8" t="inlineStr">
        <is>
          <t>该位置单手 EV 汇总 per_hand_ev</t>
        </is>
      </c>
      <c r="J322" s="8" t="inlineStr">
        <is>
          <t>各位置期望值反例-分母为0字段不出现</t>
        </is>
      </c>
      <c r="K322" s="12" t="inlineStr">
        <is>
          <t>反例</t>
        </is>
      </c>
      <c r="L322" s="8" t="inlineStr">
        <is>
          <t>1、已登录，当前用户是 Hero。
2、本场分母次数为 0。「各位置期望值」应为空或不出现，不能写成 0% 或 100%。</t>
        </is>
      </c>
      <c r="M322" s="8" t="inlineStr">
        <is>
          <t>1、上传素材，生成复盘报告，等到能打开。
2、打开「各位置期望值」，检查是否为空或不出现。</t>
        </is>
      </c>
      <c r="N322" s="8" t="inlineStr">
        <is>
          <t>各位置期望值为空或不出现</t>
        </is>
      </c>
      <c r="O322" s="8" t="inlineStr">
        <is>
          <t>position_stats[].ev_by_position</t>
        </is>
      </c>
      <c r="P322" s="10" t="inlineStr">
        <is>
          <t>未执行</t>
        </is>
      </c>
      <c r="Q322" s="10" t="inlineStr"/>
      <c r="R322" s="11" t="inlineStr"/>
    </row>
    <row r="323" ht="72" customHeight="1">
      <c r="A323" s="5" t="inlineStr">
        <is>
          <t>TC-RPT-319</t>
        </is>
      </c>
      <c r="B323" s="5" t="inlineStr">
        <is>
          <t>risk_decisions_by_position</t>
        </is>
      </c>
      <c r="C323" s="5" t="inlineStr">
        <is>
          <t>各位置高风险决策数</t>
        </is>
      </c>
      <c r="D323" s="13" t="inlineStr">
        <is>
          <t>P1</t>
        </is>
      </c>
      <c r="E323" s="7" t="inlineStr">
        <is>
          <t>正交试验法</t>
        </is>
      </c>
      <c r="F323" s="7" t="inlineStr">
        <is>
          <t>位置数据</t>
        </is>
      </c>
      <c r="G323" s="7" t="inlineStr">
        <is>
          <t>内部</t>
        </is>
      </c>
      <c r="H323" s="8" t="inlineStr">
        <is>
          <t>Hero 各位置风险决策分布</t>
        </is>
      </c>
      <c r="I323" s="8" t="inlineStr">
        <is>
          <t>该位置 high_risk_count 汇总</t>
        </is>
      </c>
      <c r="J323" s="8" t="inlineStr">
        <is>
          <t>各位置高风险决策数正例-各座位高风险决策点数</t>
        </is>
      </c>
      <c r="K323" s="9" t="inlineStr">
        <is>
          <t>正例</t>
        </is>
      </c>
      <c r="L323" s="8" t="inlineStr">
        <is>
          <t>1、已登录，当前用户是 Hero。只用正例场。
2、2人/6人/9人桌各一场，每场位置名按该人数映射，对应值=n</t>
        </is>
      </c>
      <c r="M323" s="8" t="inlineStr">
        <is>
          <t>1、上传素材，生成复盘报告，等到能打开。
2、打开「各位置高风险决策数」，检查是否为n。</t>
        </is>
      </c>
      <c r="N323" s="8" t="inlineStr">
        <is>
          <t>各位置高风险决策数=n</t>
        </is>
      </c>
      <c r="O323" s="8" t="inlineStr">
        <is>
          <t>position_stats[].risk_decisions_by_position</t>
        </is>
      </c>
      <c r="P323" s="10" t="inlineStr">
        <is>
          <t>未执行</t>
        </is>
      </c>
      <c r="Q323" s="10" t="inlineStr"/>
      <c r="R323" s="11" t="inlineStr"/>
    </row>
    <row r="324" ht="72" customHeight="1">
      <c r="A324" s="5" t="inlineStr">
        <is>
          <t>TC-RPT-320</t>
        </is>
      </c>
      <c r="B324" s="5" t="inlineStr">
        <is>
          <t>risk_decisions_by_position</t>
        </is>
      </c>
      <c r="C324" s="5" t="inlineStr">
        <is>
          <t>各位置高风险决策数</t>
        </is>
      </c>
      <c r="D324" s="13" t="inlineStr">
        <is>
          <t>P1</t>
        </is>
      </c>
      <c r="E324" s="7" t="inlineStr">
        <is>
          <t>边界值分析法</t>
        </is>
      </c>
      <c r="F324" s="7" t="inlineStr">
        <is>
          <t>位置数据</t>
        </is>
      </c>
      <c r="G324" s="7" t="inlineStr">
        <is>
          <t>内部</t>
        </is>
      </c>
      <c r="H324" s="8" t="inlineStr">
        <is>
          <t>Hero 各位置风险决策分布</t>
        </is>
      </c>
      <c r="I324" s="8" t="inlineStr">
        <is>
          <t>该位置 high_risk_count 汇总</t>
        </is>
      </c>
      <c r="J324" s="8" t="inlineStr">
        <is>
          <t>各位置高风险决策数反例-分母为0字段不出现</t>
        </is>
      </c>
      <c r="K324" s="12" t="inlineStr">
        <is>
          <t>反例</t>
        </is>
      </c>
      <c r="L324" s="8" t="inlineStr">
        <is>
          <t>1、已登录，当前用户是 Hero。
2、本场分母次数为 0。「各位置高风险决策数」应为空或不出现，不能写成 0% 或 100%。</t>
        </is>
      </c>
      <c r="M324" s="8" t="inlineStr">
        <is>
          <t>1、上传素材，生成复盘报告，等到能打开。
2、打开「各位置高风险决策数」，检查是否为空或不出现。</t>
        </is>
      </c>
      <c r="N324" s="8" t="inlineStr">
        <is>
          <t>各位置高风险决策数为空或不出现</t>
        </is>
      </c>
      <c r="O324" s="8" t="inlineStr">
        <is>
          <t>position_stats[].risk_decisions_by_position</t>
        </is>
      </c>
      <c r="P324" s="10" t="inlineStr">
        <is>
          <t>未执行</t>
        </is>
      </c>
      <c r="Q324" s="10" t="inlineStr"/>
      <c r="R324" s="11" t="inlineStr"/>
    </row>
    <row r="325" ht="72" customHeight="1">
      <c r="A325" s="5" t="inlineStr">
        <is>
          <t>TC-RPT-321</t>
        </is>
      </c>
      <c r="B325" s="5" t="inlineStr">
        <is>
          <t>bb_defense_quality</t>
        </is>
      </c>
      <c r="C325" s="5" t="inlineStr">
        <is>
          <t>BB 防守质量</t>
        </is>
      </c>
      <c r="D325" s="13" t="inlineStr">
        <is>
          <t>P1</t>
        </is>
      </c>
      <c r="E325" s="7" t="inlineStr">
        <is>
          <t>等价类划分法</t>
        </is>
      </c>
      <c r="F325" s="7" t="inlineStr">
        <is>
          <t>位置数据</t>
        </is>
      </c>
      <c r="G325" s="7" t="inlineStr">
        <is>
          <t>内部</t>
        </is>
      </c>
      <c r="H325" s="8" t="inlineStr">
        <is>
          <t>Hero 大盲防守决策质量</t>
        </is>
      </c>
      <c r="I325" s="8" t="inlineStr">
        <is>
          <t>BB 防守手牌中可接受 / 高风险决策比例</t>
        </is>
      </c>
      <c r="J325" s="8" t="inlineStr">
        <is>
          <t>BB 防守质量正例-大盲被加注后决策质量占比</t>
        </is>
      </c>
      <c r="K325" s="9" t="inlineStr">
        <is>
          <t>正例</t>
        </is>
      </c>
      <c r="L325" s="8" t="inlineStr">
        <is>
          <t>1、已登录，当前用户是 Hero。只用正例场。
2、素材里「BB 防守质量」应对的值=n</t>
        </is>
      </c>
      <c r="M325" s="8" t="inlineStr">
        <is>
          <t>1、上传素材，生成复盘报告，等到能打开。
2、打开「BB 防守质量」，检查是否为n。</t>
        </is>
      </c>
      <c r="N325" s="8" t="inlineStr">
        <is>
          <t>BB 防守质量=n</t>
        </is>
      </c>
      <c r="O325" s="8" t="inlineStr">
        <is>
          <t>position_stats.bb_defense_quality</t>
        </is>
      </c>
      <c r="P325" s="10" t="inlineStr">
        <is>
          <t>未执行</t>
        </is>
      </c>
      <c r="Q325" s="10" t="inlineStr"/>
      <c r="R325" s="11" t="inlineStr"/>
    </row>
    <row r="326" ht="72" customHeight="1">
      <c r="A326" s="5" t="inlineStr">
        <is>
          <t>TC-RPT-322</t>
        </is>
      </c>
      <c r="B326" s="5" t="inlineStr">
        <is>
          <t>bb_defense_quality</t>
        </is>
      </c>
      <c r="C326" s="5" t="inlineStr">
        <is>
          <t>BB 防守质量</t>
        </is>
      </c>
      <c r="D326" s="13" t="inlineStr">
        <is>
          <t>P1</t>
        </is>
      </c>
      <c r="E326" s="7" t="inlineStr">
        <is>
          <t>等价类划分法</t>
        </is>
      </c>
      <c r="F326" s="7" t="inlineStr">
        <is>
          <t>位置数据</t>
        </is>
      </c>
      <c r="G326" s="7" t="inlineStr">
        <is>
          <t>内部</t>
        </is>
      </c>
      <c r="H326" s="8" t="inlineStr">
        <is>
          <t>Hero 大盲防守决策质量</t>
        </is>
      </c>
      <c r="I326" s="8" t="inlineStr">
        <is>
          <t>BB 防守手牌中可接受 / 高风险决策比例</t>
        </is>
      </c>
      <c r="J326" s="8" t="inlineStr">
        <is>
          <t>BB 防守质量反例-非大盲防守混进来</t>
        </is>
      </c>
      <c r="K326" s="12" t="inlineStr">
        <is>
          <t>反例</t>
        </is>
      </c>
      <c r="L326" s="8" t="inlineStr">
        <is>
          <t>1、已登录，当前用户是 Hero。准备下列不该计入的素材。
2、非大盲防守混进来，「BB 防守质量」仍=n</t>
        </is>
      </c>
      <c r="M326" s="8" t="inlineStr">
        <is>
          <t>1、上传素材，生成复盘报告，等到能打开。
2、打开「BB 防守质量」，检查是否为n。</t>
        </is>
      </c>
      <c r="N326" s="8" t="inlineStr">
        <is>
          <t>BB 防守质量=n</t>
        </is>
      </c>
      <c r="O326" s="8" t="inlineStr">
        <is>
          <t>position_stats.bb_defense_quality</t>
        </is>
      </c>
      <c r="P326" s="10" t="inlineStr">
        <is>
          <t>未执行</t>
        </is>
      </c>
      <c r="Q326" s="10" t="inlineStr"/>
      <c r="R326" s="11" t="inlineStr"/>
    </row>
    <row r="327" ht="72" customHeight="1">
      <c r="A327" s="5" t="inlineStr">
        <is>
          <t>TC-RPT-323</t>
        </is>
      </c>
      <c r="B327" s="5" t="inlineStr">
        <is>
          <t>sb_defense_quality</t>
        </is>
      </c>
      <c r="C327" s="5" t="inlineStr">
        <is>
          <t>SB 防守质量</t>
        </is>
      </c>
      <c r="D327" s="14" t="inlineStr">
        <is>
          <t>P2</t>
        </is>
      </c>
      <c r="E327" s="7" t="inlineStr">
        <is>
          <t>等价类划分法</t>
        </is>
      </c>
      <c r="F327" s="7" t="inlineStr">
        <is>
          <t>位置数据</t>
        </is>
      </c>
      <c r="G327" s="7" t="inlineStr">
        <is>
          <t>内部</t>
        </is>
      </c>
      <c r="H327" s="8" t="inlineStr">
        <is>
          <t>Hero 小盲防守决策质量</t>
        </is>
      </c>
      <c r="I327" s="8" t="inlineStr">
        <is>
          <t>SB 防守手牌中可接受 / 高风险决策比例</t>
        </is>
      </c>
      <c r="J327" s="8" t="inlineStr">
        <is>
          <t>SB 防守质量正例-小盲被加注后决策质量占比</t>
        </is>
      </c>
      <c r="K327" s="9" t="inlineStr">
        <is>
          <t>正例</t>
        </is>
      </c>
      <c r="L327" s="8" t="inlineStr">
        <is>
          <t>1、已登录，当前用户是 Hero。只用正例场。
2、素材里「SB 防守质量」应对的值=n</t>
        </is>
      </c>
      <c r="M327" s="8" t="inlineStr">
        <is>
          <t>1、上传素材，生成复盘报告，等到能打开。
2、打开「SB 防守质量」，检查是否为n。</t>
        </is>
      </c>
      <c r="N327" s="8" t="inlineStr">
        <is>
          <t>SB 防守质量=n</t>
        </is>
      </c>
      <c r="O327" s="8" t="inlineStr">
        <is>
          <t>position_stats.sb_defense_quality</t>
        </is>
      </c>
      <c r="P327" s="10" t="inlineStr">
        <is>
          <t>未执行</t>
        </is>
      </c>
      <c r="Q327" s="10" t="inlineStr"/>
      <c r="R327" s="11" t="inlineStr"/>
    </row>
    <row r="328" ht="72" customHeight="1">
      <c r="A328" s="5" t="inlineStr">
        <is>
          <t>TC-RPT-324</t>
        </is>
      </c>
      <c r="B328" s="5" t="inlineStr">
        <is>
          <t>sb_defense_quality</t>
        </is>
      </c>
      <c r="C328" s="5" t="inlineStr">
        <is>
          <t>SB 防守质量</t>
        </is>
      </c>
      <c r="D328" s="14" t="inlineStr">
        <is>
          <t>P2</t>
        </is>
      </c>
      <c r="E328" s="7" t="inlineStr">
        <is>
          <t>等价类划分法</t>
        </is>
      </c>
      <c r="F328" s="7" t="inlineStr">
        <is>
          <t>位置数据</t>
        </is>
      </c>
      <c r="G328" s="7" t="inlineStr">
        <is>
          <t>内部</t>
        </is>
      </c>
      <c r="H328" s="8" t="inlineStr">
        <is>
          <t>Hero 小盲防守决策质量</t>
        </is>
      </c>
      <c r="I328" s="8" t="inlineStr">
        <is>
          <t>SB 防守手牌中可接受 / 高风险决策比例</t>
        </is>
      </c>
      <c r="J328" s="8" t="inlineStr">
        <is>
          <t>SB 防守质量反例-大盲防守混进来</t>
        </is>
      </c>
      <c r="K328" s="12" t="inlineStr">
        <is>
          <t>反例</t>
        </is>
      </c>
      <c r="L328" s="8" t="inlineStr">
        <is>
          <t>1、已登录，当前用户是 Hero。准备下列不该计入的素材。
2、大盲防守混进来，「SB 防守质量」仍=n</t>
        </is>
      </c>
      <c r="M328" s="8" t="inlineStr">
        <is>
          <t>1、上传素材，生成复盘报告，等到能打开。
2、打开「SB 防守质量」，检查是否为n。</t>
        </is>
      </c>
      <c r="N328" s="8" t="inlineStr">
        <is>
          <t>SB 防守质量=n</t>
        </is>
      </c>
      <c r="O328" s="8" t="inlineStr">
        <is>
          <t>position_stats.sb_defense_quality</t>
        </is>
      </c>
      <c r="P328" s="10" t="inlineStr">
        <is>
          <t>未执行</t>
        </is>
      </c>
      <c r="Q328" s="10" t="inlineStr"/>
      <c r="R328" s="11" t="inlineStr"/>
    </row>
    <row r="329" ht="72" customHeight="1">
      <c r="A329" s="5" t="inlineStr">
        <is>
          <t>TC-RPT-325</t>
        </is>
      </c>
      <c r="B329" s="5" t="inlineStr">
        <is>
          <t>opponent_id</t>
        </is>
      </c>
      <c r="C329" s="5" t="inlineStr">
        <is>
          <t>对手唯一标识</t>
        </is>
      </c>
      <c r="D329" s="13" t="inlineStr">
        <is>
          <t>P1</t>
        </is>
      </c>
      <c r="E329" s="7" t="inlineStr">
        <is>
          <t>等价类划分法</t>
        </is>
      </c>
      <c r="F329" s="7" t="inlineStr">
        <is>
          <t>对手数据</t>
        </is>
      </c>
      <c r="G329" s="7" t="inlineStr">
        <is>
          <t>内部</t>
        </is>
      </c>
      <c r="H329" s="8" t="inlineStr">
        <is>
          <t>对手内部 ID</t>
        </is>
      </c>
      <c r="I329" s="8" t="inlineStr">
        <is>
          <t>技术侧玩家 ID；用户不可见</t>
        </is>
      </c>
      <c r="J329" s="8" t="inlineStr">
        <is>
          <t>对手唯一标识正例-同一对手稳定ID</t>
        </is>
      </c>
      <c r="K329" s="9" t="inlineStr">
        <is>
          <t>正例</t>
        </is>
      </c>
      <c r="L329" s="8" t="inlineStr">
        <is>
          <t>1、已登录，当前用户是 Hero。只用正例场。
2、素材里「对手唯一标识」应对的值=n</t>
        </is>
      </c>
      <c r="M329" s="8" t="inlineStr">
        <is>
          <t>1、上传素材，生成复盘报告，等到能打开。
2、打开「对手唯一标识」，检查是否为n。</t>
        </is>
      </c>
      <c r="N329" s="8" t="inlineStr">
        <is>
          <t>对手唯一标识=n</t>
        </is>
      </c>
      <c r="O329" s="8" t="inlineStr">
        <is>
          <t>opponent_stats[].opponent_id</t>
        </is>
      </c>
      <c r="P329" s="10" t="inlineStr">
        <is>
          <t>未执行</t>
        </is>
      </c>
      <c r="Q329" s="10" t="inlineStr"/>
      <c r="R329" s="11" t="inlineStr"/>
    </row>
    <row r="330" ht="72" customHeight="1">
      <c r="A330" s="5" t="inlineStr">
        <is>
          <t>TC-RPT-326</t>
        </is>
      </c>
      <c r="B330" s="5" t="inlineStr">
        <is>
          <t>opponent_id</t>
        </is>
      </c>
      <c r="C330" s="5" t="inlineStr">
        <is>
          <t>对手唯一标识</t>
        </is>
      </c>
      <c r="D330" s="13" t="inlineStr">
        <is>
          <t>P1</t>
        </is>
      </c>
      <c r="E330" s="7" t="inlineStr">
        <is>
          <t>等价类划分法</t>
        </is>
      </c>
      <c r="F330" s="7" t="inlineStr">
        <is>
          <t>对手数据</t>
        </is>
      </c>
      <c r="G330" s="7" t="inlineStr">
        <is>
          <t>内部</t>
        </is>
      </c>
      <c r="H330" s="8" t="inlineStr">
        <is>
          <t>对手内部 ID</t>
        </is>
      </c>
      <c r="I330" s="8" t="inlineStr">
        <is>
          <t>技术侧玩家 ID；用户不可见</t>
        </is>
      </c>
      <c r="J330" s="8" t="inlineStr">
        <is>
          <t>对手唯一标识反例-昵称当唯一ID</t>
        </is>
      </c>
      <c r="K330" s="12" t="inlineStr">
        <is>
          <t>反例</t>
        </is>
      </c>
      <c r="L330" s="8" t="inlineStr">
        <is>
          <t>1、已登录，当前用户是 Hero。准备下列不该计入的素材。
2、昵称当唯一ID，「对手唯一标识」仍=n</t>
        </is>
      </c>
      <c r="M330" s="8" t="inlineStr">
        <is>
          <t>1、上传素材，生成复盘报告，等到能打开。
2、打开「对手唯一标识」，检查是否为n。</t>
        </is>
      </c>
      <c r="N330" s="8" t="inlineStr">
        <is>
          <t>对手唯一标识=n</t>
        </is>
      </c>
      <c r="O330" s="8" t="inlineStr">
        <is>
          <t>opponent_stats[].opponent_id</t>
        </is>
      </c>
      <c r="P330" s="10" t="inlineStr">
        <is>
          <t>未执行</t>
        </is>
      </c>
      <c r="Q330" s="10" t="inlineStr"/>
      <c r="R330" s="11" t="inlineStr"/>
    </row>
    <row r="331" ht="72" customHeight="1">
      <c r="A331" s="5" t="inlineStr">
        <is>
          <t>TC-RPT-327</t>
        </is>
      </c>
      <c r="B331" s="5" t="inlineStr">
        <is>
          <t>opponent_name</t>
        </is>
      </c>
      <c r="C331" s="5" t="inlineStr">
        <is>
          <t>对手昵称</t>
        </is>
      </c>
      <c r="D331" s="13" t="inlineStr">
        <is>
          <t>P1</t>
        </is>
      </c>
      <c r="E331" s="7" t="inlineStr">
        <is>
          <t>等价类划分法</t>
        </is>
      </c>
      <c r="F331" s="7" t="inlineStr">
        <is>
          <t>对手数据</t>
        </is>
      </c>
      <c r="G331" s="7" t="inlineStr">
        <is>
          <t>是</t>
        </is>
      </c>
      <c r="H331" s="8" t="inlineStr">
        <is>
          <t>用户可见的对手称呼</t>
        </is>
      </c>
      <c r="I331" s="8" t="inlineStr">
        <is>
          <t>取视频或结构化数据中的真实昵称</t>
        </is>
      </c>
      <c r="J331" s="8" t="inlineStr">
        <is>
          <t>对手昵称正例-对手昵称与画面一致</t>
        </is>
      </c>
      <c r="K331" s="9" t="inlineStr">
        <is>
          <t>正例</t>
        </is>
      </c>
      <c r="L331" s="8" t="inlineStr">
        <is>
          <t>1、已登录，当前用户是 Hero。只用正例场。
2、素材里「对手昵称」应对的值=n</t>
        </is>
      </c>
      <c r="M331" s="8" t="inlineStr">
        <is>
          <t>1、上传素材，生成复盘报告，等到能打开。
2、打开「对手昵称」，检查是否为n。</t>
        </is>
      </c>
      <c r="N331" s="8" t="inlineStr">
        <is>
          <t>对手昵称=n</t>
        </is>
      </c>
      <c r="O331" s="8" t="inlineStr">
        <is>
          <t>opponent_stats[].opponent_name</t>
        </is>
      </c>
      <c r="P331" s="10" t="inlineStr">
        <is>
          <t>未执行</t>
        </is>
      </c>
      <c r="Q331" s="10" t="inlineStr"/>
      <c r="R331" s="11" t="inlineStr"/>
    </row>
    <row r="332" ht="72" customHeight="1">
      <c r="A332" s="5" t="inlineStr">
        <is>
          <t>TC-RPT-328</t>
        </is>
      </c>
      <c r="B332" s="5" t="inlineStr">
        <is>
          <t>opponent_name</t>
        </is>
      </c>
      <c r="C332" s="5" t="inlineStr">
        <is>
          <t>对手昵称</t>
        </is>
      </c>
      <c r="D332" s="13" t="inlineStr">
        <is>
          <t>P1</t>
        </is>
      </c>
      <c r="E332" s="7" t="inlineStr">
        <is>
          <t>等价类划分法</t>
        </is>
      </c>
      <c r="F332" s="7" t="inlineStr">
        <is>
          <t>对手数据</t>
        </is>
      </c>
      <c r="G332" s="7" t="inlineStr">
        <is>
          <t>是</t>
        </is>
      </c>
      <c r="H332" s="8" t="inlineStr">
        <is>
          <t>用户可见的对手称呼</t>
        </is>
      </c>
      <c r="I332" s="8" t="inlineStr">
        <is>
          <t>取视频或结构化数据中的真实昵称</t>
        </is>
      </c>
      <c r="J332" s="8" t="inlineStr">
        <is>
          <t>对手昵称反例-编造玩家昵称</t>
        </is>
      </c>
      <c r="K332" s="12" t="inlineStr">
        <is>
          <t>反例</t>
        </is>
      </c>
      <c r="L332" s="8" t="inlineStr">
        <is>
          <t>1、已登录，当前用户是 Hero。准备下列不该计入的素材。
2、编造玩家昵称，「对手昵称」仍=n</t>
        </is>
      </c>
      <c r="M332" s="8" t="inlineStr">
        <is>
          <t>1、上传素材，生成复盘报告，等到能打开。
2、打开「对手昵称」，检查是否为n。</t>
        </is>
      </c>
      <c r="N332" s="8" t="inlineStr">
        <is>
          <t>对手昵称=n</t>
        </is>
      </c>
      <c r="O332" s="8" t="inlineStr">
        <is>
          <t>opponent_stats[].opponent_name</t>
        </is>
      </c>
      <c r="P332" s="10" t="inlineStr">
        <is>
          <t>未执行</t>
        </is>
      </c>
      <c r="Q332" s="10" t="inlineStr"/>
      <c r="R332" s="11" t="inlineStr"/>
    </row>
    <row r="333" ht="72" customHeight="1">
      <c r="A333" s="5" t="inlineStr">
        <is>
          <t>TC-RPT-329</t>
        </is>
      </c>
      <c r="B333" s="5" t="inlineStr">
        <is>
          <t>opponent_position_distribution</t>
        </is>
      </c>
      <c r="C333" s="5" t="inlineStr">
        <is>
          <t>对手位置分布</t>
        </is>
      </c>
      <c r="D333" s="14" t="inlineStr">
        <is>
          <t>P2</t>
        </is>
      </c>
      <c r="E333" s="7" t="inlineStr">
        <is>
          <t>正交试验法</t>
        </is>
      </c>
      <c r="F333" s="7" t="inlineStr">
        <is>
          <t>对手数据</t>
        </is>
      </c>
      <c r="G333" s="7" t="inlineStr">
        <is>
          <t>内部</t>
        </is>
      </c>
      <c r="H333" s="8" t="inlineStr">
        <is>
          <t>对手在各位置出现频次</t>
        </is>
      </c>
      <c r="I333" s="8" t="inlineStr">
        <is>
          <t>按对手位置分组计数</t>
        </is>
      </c>
      <c r="J333" s="8" t="inlineStr">
        <is>
          <t>对手位置分布正例-对手各座位出现次数</t>
        </is>
      </c>
      <c r="K333" s="9" t="inlineStr">
        <is>
          <t>正例</t>
        </is>
      </c>
      <c r="L333" s="8" t="inlineStr">
        <is>
          <t>1、已登录，当前用户是 Hero。只用正例场。
2、2人/6人/9人桌各一场，每场位置名按该人数映射，对应值=n</t>
        </is>
      </c>
      <c r="M333" s="8" t="inlineStr">
        <is>
          <t>1、上传素材，生成复盘报告，等到能打开。
2、打开「对手位置分布」，检查是否为n。</t>
        </is>
      </c>
      <c r="N333" s="8" t="inlineStr">
        <is>
          <t>对手位置分布=n</t>
        </is>
      </c>
      <c r="O333" s="8" t="inlineStr">
        <is>
          <t>opponent_stats.opponent_position_distribution</t>
        </is>
      </c>
      <c r="P333" s="10" t="inlineStr">
        <is>
          <t>未执行</t>
        </is>
      </c>
      <c r="Q333" s="10" t="inlineStr"/>
      <c r="R333" s="11" t="inlineStr"/>
    </row>
    <row r="334" ht="72" customHeight="1">
      <c r="A334" s="5" t="inlineStr">
        <is>
          <t>TC-RPT-330</t>
        </is>
      </c>
      <c r="B334" s="5" t="inlineStr">
        <is>
          <t>opponent_position_distribution</t>
        </is>
      </c>
      <c r="C334" s="5" t="inlineStr">
        <is>
          <t>对手位置分布</t>
        </is>
      </c>
      <c r="D334" s="14" t="inlineStr">
        <is>
          <t>P2</t>
        </is>
      </c>
      <c r="E334" s="7" t="inlineStr">
        <is>
          <t>边界值分析法</t>
        </is>
      </c>
      <c r="F334" s="7" t="inlineStr">
        <is>
          <t>对手数据</t>
        </is>
      </c>
      <c r="G334" s="7" t="inlineStr">
        <is>
          <t>内部</t>
        </is>
      </c>
      <c r="H334" s="8" t="inlineStr">
        <is>
          <t>对手在各位置出现频次</t>
        </is>
      </c>
      <c r="I334" s="8" t="inlineStr">
        <is>
          <t>按对手位置分组计数</t>
        </is>
      </c>
      <c r="J334" s="8" t="inlineStr">
        <is>
          <t>对手位置分布反例-分母为0字段不出现</t>
        </is>
      </c>
      <c r="K334" s="12" t="inlineStr">
        <is>
          <t>反例</t>
        </is>
      </c>
      <c r="L334" s="8" t="inlineStr">
        <is>
          <t>1、已登录，当前用户是 Hero。
2、本场分母次数为 0。「对手位置分布」应为空或不出现，不能写成 0% 或 100%。</t>
        </is>
      </c>
      <c r="M334" s="8" t="inlineStr">
        <is>
          <t>1、上传素材，生成复盘报告，等到能打开。
2、打开「对手位置分布」，检查是否为空或不出现。</t>
        </is>
      </c>
      <c r="N334" s="8" t="inlineStr">
        <is>
          <t>对手位置分布为空或不出现</t>
        </is>
      </c>
      <c r="O334" s="8" t="inlineStr">
        <is>
          <t>opponent_stats.opponent_position_distribution</t>
        </is>
      </c>
      <c r="P334" s="10" t="inlineStr">
        <is>
          <t>未执行</t>
        </is>
      </c>
      <c r="Q334" s="10" t="inlineStr"/>
      <c r="R334" s="11" t="inlineStr"/>
    </row>
    <row r="335" ht="72" customHeight="1">
      <c r="A335" s="5" t="inlineStr">
        <is>
          <t>TC-RPT-331</t>
        </is>
      </c>
      <c r="B335" s="5" t="inlineStr">
        <is>
          <t>hands_vs_hero</t>
        </is>
      </c>
      <c r="C335" s="5" t="inlineStr">
        <is>
          <t>与 Hero 交手手数</t>
        </is>
      </c>
      <c r="D335" s="13" t="inlineStr">
        <is>
          <t>P1</t>
        </is>
      </c>
      <c r="E335" s="7" t="inlineStr">
        <is>
          <t>等价类划分法</t>
        </is>
      </c>
      <c r="F335" s="7" t="inlineStr">
        <is>
          <t>对手数据</t>
        </is>
      </c>
      <c r="G335" s="7" t="inlineStr">
        <is>
          <t>是</t>
        </is>
      </c>
      <c r="H335" s="8" t="inlineStr">
        <is>
          <t>Hero 与该对手共同参与的手牌数</t>
        </is>
      </c>
      <c r="I335" s="8" t="inlineStr">
        <is>
          <t>Hero 和对手同时入池的手牌计数</t>
        </is>
      </c>
      <c r="J335" s="8" t="inlineStr">
        <is>
          <t>与 Hero 交手手数正例-与对手同一手都下注手数</t>
        </is>
      </c>
      <c r="K335" s="9" t="inlineStr">
        <is>
          <t>正例</t>
        </is>
      </c>
      <c r="L335" s="8" t="inlineStr">
        <is>
          <t>1、已登录，当前用户是 Hero。只用正例场。
2、素材里「与 Hero 交手手数」应对的值=n</t>
        </is>
      </c>
      <c r="M335" s="8" t="inlineStr">
        <is>
          <t>1、上传素材，生成复盘报告，等到能打开。
2、打开「与 Hero 交手手数」，检查是否为n。</t>
        </is>
      </c>
      <c r="N335" s="8" t="inlineStr">
        <is>
          <t>与 Hero 交手手数=n</t>
        </is>
      </c>
      <c r="O335" s="8" t="inlineStr">
        <is>
          <t>opponent_stats.hands_vs_hero</t>
        </is>
      </c>
      <c r="P335" s="10" t="inlineStr">
        <is>
          <t>未执行</t>
        </is>
      </c>
      <c r="Q335" s="10" t="inlineStr"/>
      <c r="R335" s="11" t="inlineStr"/>
    </row>
    <row r="336" ht="72" customHeight="1">
      <c r="A336" s="5" t="inlineStr">
        <is>
          <t>TC-RPT-332</t>
        </is>
      </c>
      <c r="B336" s="5" t="inlineStr">
        <is>
          <t>hands_vs_hero</t>
        </is>
      </c>
      <c r="C336" s="5" t="inlineStr">
        <is>
          <t>与 Hero 交手手数</t>
        </is>
      </c>
      <c r="D336" s="13" t="inlineStr">
        <is>
          <t>P1</t>
        </is>
      </c>
      <c r="E336" s="7" t="inlineStr">
        <is>
          <t>等价类划分法</t>
        </is>
      </c>
      <c r="F336" s="7" t="inlineStr">
        <is>
          <t>对手数据</t>
        </is>
      </c>
      <c r="G336" s="7" t="inlineStr">
        <is>
          <t>是</t>
        </is>
      </c>
      <c r="H336" s="8" t="inlineStr">
        <is>
          <t>Hero 与该对手共同参与的手牌数</t>
        </is>
      </c>
      <c r="I336" s="8" t="inlineStr">
        <is>
          <t>Hero 和对手同时入池的手牌计数</t>
        </is>
      </c>
      <c r="J336" s="8" t="inlineStr">
        <is>
          <t>与 Hero 交手手数反例-同桌未与Hero同一手都下注</t>
        </is>
      </c>
      <c r="K336" s="12" t="inlineStr">
        <is>
          <t>反例</t>
        </is>
      </c>
      <c r="L336" s="8" t="inlineStr">
        <is>
          <t>1、已登录，当前用户是 Hero。准备下列不该计入的素材。
2、对手已弃未与Hero同一手都下注。交手手数不含，「与 Hero 交手手数」仍=n</t>
        </is>
      </c>
      <c r="M336" s="8" t="inlineStr">
        <is>
          <t>1、上传素材，生成复盘报告，等到能打开。
2、打开「与 Hero 交手手数」，检查是否为n。</t>
        </is>
      </c>
      <c r="N336" s="8" t="inlineStr">
        <is>
          <t>与 Hero 交手手数=n</t>
        </is>
      </c>
      <c r="O336" s="8" t="inlineStr">
        <is>
          <t>opponent_stats.hands_vs_hero</t>
        </is>
      </c>
      <c r="P336" s="10" t="inlineStr">
        <is>
          <t>未执行</t>
        </is>
      </c>
      <c r="Q336" s="10" t="inlineStr"/>
      <c r="R336" s="11" t="inlineStr"/>
    </row>
    <row r="337" ht="72" customHeight="1">
      <c r="A337" s="5" t="inlineStr">
        <is>
          <t>TC-RPT-333</t>
        </is>
      </c>
      <c r="B337" s="5" t="inlineStr">
        <is>
          <t>hands_vs_hero</t>
        </is>
      </c>
      <c r="C337" s="5" t="inlineStr">
        <is>
          <t>与 Hero 交手手数</t>
        </is>
      </c>
      <c r="D337" s="13" t="inlineStr">
        <is>
          <t>P1</t>
        </is>
      </c>
      <c r="E337" s="7" t="inlineStr">
        <is>
          <t>场景设计法</t>
        </is>
      </c>
      <c r="F337" s="7" t="inlineStr">
        <is>
          <t>对手数据</t>
        </is>
      </c>
      <c r="G337" s="7" t="inlineStr">
        <is>
          <t>是</t>
        </is>
      </c>
      <c r="H337" s="8" t="inlineStr">
        <is>
          <t>Hero 与该对手共同参与的手牌数</t>
        </is>
      </c>
      <c r="I337" s="8" t="inlineStr">
        <is>
          <t>Hero 和对手同时入池的手牌计数</t>
        </is>
      </c>
      <c r="J337" s="8" t="inlineStr">
        <is>
          <t>交手手数正例-只有同一手都下了注才算</t>
        </is>
      </c>
      <c r="K337" s="9" t="inlineStr">
        <is>
          <t>正例</t>
        </is>
      </c>
      <c r="L337" s="8" t="inlineStr">
        <is>
          <t>1、已登录，当前用户是 Hero。
2、素材里与甲同入池手数=3，同桌未与Hero同一手都下注=2。对手甲交手手数=3</t>
        </is>
      </c>
      <c r="M337" s="8" t="inlineStr">
        <is>
          <t>1、上传素材，生成复盘报告，等到能打开。
2、打开「交手手数」，检查是否为3。</t>
        </is>
      </c>
      <c r="N337" s="8" t="inlineStr">
        <is>
          <t>交手手数=3</t>
        </is>
      </c>
      <c r="O337" s="8" t="inlineStr">
        <is>
          <t>opponent_stats.hands_vs_hero</t>
        </is>
      </c>
      <c r="P337" s="10" t="inlineStr">
        <is>
          <t>未执行</t>
        </is>
      </c>
      <c r="Q337" s="10" t="inlineStr"/>
      <c r="R337" s="11" t="inlineStr"/>
    </row>
    <row r="338" ht="72" customHeight="1">
      <c r="A338" s="5" t="inlineStr">
        <is>
          <t>TC-RPT-334</t>
        </is>
      </c>
      <c r="B338" s="5" t="inlineStr">
        <is>
          <t>hands_vs_hero</t>
        </is>
      </c>
      <c r="C338" s="5" t="inlineStr">
        <is>
          <t>与 Hero 交手手数</t>
        </is>
      </c>
      <c r="D338" s="13" t="inlineStr">
        <is>
          <t>P1</t>
        </is>
      </c>
      <c r="E338" s="7" t="inlineStr">
        <is>
          <t>场景设计法</t>
        </is>
      </c>
      <c r="F338" s="7" t="inlineStr">
        <is>
          <t>对手数据</t>
        </is>
      </c>
      <c r="G338" s="7" t="inlineStr">
        <is>
          <t>是</t>
        </is>
      </c>
      <c r="H338" s="8" t="inlineStr">
        <is>
          <t>Hero 与该对手共同参与的手牌数</t>
        </is>
      </c>
      <c r="I338" s="8" t="inlineStr">
        <is>
          <t>Hero 和对手同时入池的手牌计数</t>
        </is>
      </c>
      <c r="J338" s="8" t="inlineStr">
        <is>
          <t>交手手数反例-只交强制盲注后弃不算共同入池</t>
        </is>
      </c>
      <c r="K338" s="12" t="inlineStr">
        <is>
          <t>反例</t>
        </is>
      </c>
      <c r="L338" s="8" t="inlineStr">
        <is>
          <t>1、已登录，当前用户是 Hero。
2、Hero只下强制盲注（大小盲/前注）后弃，对手未跟至同池。交手手数仍=n</t>
        </is>
      </c>
      <c r="M338" s="8" t="inlineStr">
        <is>
          <t>1、上传素材，生成复盘报告，等到能打开。
2、打开「交手手数」，检查是否为n。</t>
        </is>
      </c>
      <c r="N338" s="8" t="inlineStr">
        <is>
          <t>交手手数=n</t>
        </is>
      </c>
      <c r="O338" s="8" t="inlineStr">
        <is>
          <t>opponent_stats.hands_vs_hero</t>
        </is>
      </c>
      <c r="P338" s="10" t="inlineStr">
        <is>
          <t>未执行</t>
        </is>
      </c>
      <c r="Q338" s="10" t="inlineStr"/>
      <c r="R338" s="11" t="inlineStr"/>
    </row>
    <row r="339" ht="72" customHeight="1">
      <c r="A339" s="5" t="inlineStr">
        <is>
          <t>TC-RPT-335</t>
        </is>
      </c>
      <c r="B339" s="5" t="inlineStr">
        <is>
          <t>profit_vs_opponent</t>
        </is>
      </c>
      <c r="C339" s="5" t="inlineStr">
        <is>
          <t>Hero 对该对手盈亏</t>
        </is>
      </c>
      <c r="D339" s="13" t="inlineStr">
        <is>
          <t>P1</t>
        </is>
      </c>
      <c r="E339" s="7" t="inlineStr">
        <is>
          <t>等价类划分法</t>
        </is>
      </c>
      <c r="F339" s="7" t="inlineStr">
        <is>
          <t>对手数据</t>
        </is>
      </c>
      <c r="G339" s="7" t="inlineStr">
        <is>
          <t>是</t>
        </is>
      </c>
      <c r="H339" s="8" t="inlineStr">
        <is>
          <t>Hero 与该对手相关牌局中的净盈亏</t>
        </is>
      </c>
      <c r="I339" s="8" t="inlineStr">
        <is>
          <t>两人共同参与牌局中 Hero 盈亏汇总</t>
        </is>
      </c>
      <c r="J339" s="8" t="inlineStr">
        <is>
          <t>Hero 对该对手盈亏正例-对对手共同参与手盈亏加总</t>
        </is>
      </c>
      <c r="K339" s="9" t="inlineStr">
        <is>
          <t>正例</t>
        </is>
      </c>
      <c r="L339" s="8" t="inlineStr">
        <is>
          <t>1、已登录，当前用户是 Hero。只用正例场。
2、素材里按口径手算「Hero 对该对手盈亏」=n</t>
        </is>
      </c>
      <c r="M339" s="8" t="inlineStr">
        <is>
          <t>1、上传素材，生成复盘报告，等到能打开。
2、打开「Hero 对该对手盈亏」，检查是否为n。</t>
        </is>
      </c>
      <c r="N339" s="8" t="inlineStr">
        <is>
          <t>Hero 对该对手盈亏=n</t>
        </is>
      </c>
      <c r="O339" s="8" t="inlineStr">
        <is>
          <t>opponent_stats.profit_vs_opponent</t>
        </is>
      </c>
      <c r="P339" s="10" t="inlineStr">
        <is>
          <t>未执行</t>
        </is>
      </c>
      <c r="Q339" s="10" t="inlineStr"/>
      <c r="R339" s="11" t="inlineStr"/>
    </row>
    <row r="340" ht="72" customHeight="1">
      <c r="A340" s="5" t="inlineStr">
        <is>
          <t>TC-RPT-336</t>
        </is>
      </c>
      <c r="B340" s="5" t="inlineStr">
        <is>
          <t>profit_vs_opponent</t>
        </is>
      </c>
      <c r="C340" s="5" t="inlineStr">
        <is>
          <t>Hero 对该对手盈亏</t>
        </is>
      </c>
      <c r="D340" s="13" t="inlineStr">
        <is>
          <t>P1</t>
        </is>
      </c>
      <c r="E340" s="7" t="inlineStr">
        <is>
          <t>边界值分析法</t>
        </is>
      </c>
      <c r="F340" s="7" t="inlineStr">
        <is>
          <t>对手数据</t>
        </is>
      </c>
      <c r="G340" s="7" t="inlineStr">
        <is>
          <t>是</t>
        </is>
      </c>
      <c r="H340" s="8" t="inlineStr">
        <is>
          <t>Hero 与该对手相关牌局中的净盈亏</t>
        </is>
      </c>
      <c r="I340" s="8" t="inlineStr">
        <is>
          <t>两人共同参与牌局中 Hero 盈亏汇总</t>
        </is>
      </c>
      <c r="J340" s="8" t="inlineStr">
        <is>
          <t>Hero 对该对手盈亏正例-单位与换算正确</t>
        </is>
      </c>
      <c r="K340" s="9" t="inlineStr">
        <is>
          <t>正例</t>
        </is>
      </c>
      <c r="L340" s="8" t="inlineStr">
        <is>
          <t>1、已登录，当前用户是 Hero。
2、各手筹码和大盲已记下，按该手换算后「Hero 对该对手盈亏」=n</t>
        </is>
      </c>
      <c r="M340" s="8" t="inlineStr">
        <is>
          <t>1、上传素材，生成复盘报告，等到能打开。
2、打开「Hero 对该对手盈亏」，检查是否为n。</t>
        </is>
      </c>
      <c r="N340" s="8" t="inlineStr">
        <is>
          <t>Hero 对该对手盈亏=n</t>
        </is>
      </c>
      <c r="O340" s="8" t="inlineStr">
        <is>
          <t>opponent_stats.profit_vs_opponent</t>
        </is>
      </c>
      <c r="P340" s="10" t="inlineStr">
        <is>
          <t>未执行</t>
        </is>
      </c>
      <c r="Q340" s="10" t="inlineStr"/>
      <c r="R340" s="11" t="inlineStr"/>
    </row>
    <row r="341" ht="72" customHeight="1">
      <c r="A341" s="5" t="inlineStr">
        <is>
          <t>TC-RPT-337</t>
        </is>
      </c>
      <c r="B341" s="5" t="inlineStr">
        <is>
          <t>profit_vs_opponent</t>
        </is>
      </c>
      <c r="C341" s="5" t="inlineStr">
        <is>
          <t>Hero 对该对手盈亏</t>
        </is>
      </c>
      <c r="D341" s="13" t="inlineStr">
        <is>
          <t>P1</t>
        </is>
      </c>
      <c r="E341" s="7" t="inlineStr">
        <is>
          <t>场景设计法</t>
        </is>
      </c>
      <c r="F341" s="7" t="inlineStr">
        <is>
          <t>对手数据</t>
        </is>
      </c>
      <c r="G341" s="7" t="inlineStr">
        <is>
          <t>是</t>
        </is>
      </c>
      <c r="H341" s="8" t="inlineStr">
        <is>
          <t>Hero 与该对手相关牌局中的净盈亏</t>
        </is>
      </c>
      <c r="I341" s="8" t="inlineStr">
        <is>
          <t>两人共同参与牌局中 Hero 盈亏汇总</t>
        </is>
      </c>
      <c r="J341" s="8" t="inlineStr">
        <is>
          <t>对对手盈亏反例-同桌未与Hero同一手都下注不对该对手记账</t>
        </is>
      </c>
      <c r="K341" s="12" t="inlineStr">
        <is>
          <t>反例</t>
        </is>
      </c>
      <c r="L341" s="8" t="inlineStr">
        <is>
          <t>1、已登录，当前用户是 Hero。
2、素材含一手：Hero 有盈亏，甲已弃未入池。该手不对甲记账，对甲盈亏仍=n</t>
        </is>
      </c>
      <c r="M341" s="8" t="inlineStr">
        <is>
          <t>1、上传素材，生成复盘报告，等到能打开。
2、打开「对对手盈亏」，检查是否为n。</t>
        </is>
      </c>
      <c r="N341" s="8" t="inlineStr">
        <is>
          <t>对对手盈亏=n</t>
        </is>
      </c>
      <c r="O341" s="8" t="inlineStr">
        <is>
          <t>opponent_stats.profit_vs_opponent</t>
        </is>
      </c>
      <c r="P341" s="10" t="inlineStr">
        <is>
          <t>未执行</t>
        </is>
      </c>
      <c r="Q341" s="10" t="inlineStr"/>
      <c r="R341" s="11" t="inlineStr"/>
    </row>
    <row r="342" ht="72" customHeight="1">
      <c r="A342" s="5" t="inlineStr">
        <is>
          <t>TC-RPT-338</t>
        </is>
      </c>
      <c r="B342" s="5" t="inlineStr">
        <is>
          <t>profit_vs_opponent</t>
        </is>
      </c>
      <c r="C342" s="5" t="inlineStr">
        <is>
          <t>Hero 对该对手盈亏</t>
        </is>
      </c>
      <c r="D342" s="13" t="inlineStr">
        <is>
          <t>P1</t>
        </is>
      </c>
      <c r="E342" s="7" t="inlineStr">
        <is>
          <t>场景设计法</t>
        </is>
      </c>
      <c r="F342" s="7" t="inlineStr">
        <is>
          <t>对手数据</t>
        </is>
      </c>
      <c r="G342" s="7" t="inlineStr">
        <is>
          <t>是</t>
        </is>
      </c>
      <c r="H342" s="8" t="inlineStr">
        <is>
          <t>Hero 与该对手相关牌局中的净盈亏</t>
        </is>
      </c>
      <c r="I342" s="8" t="inlineStr">
        <is>
          <t>两人共同参与牌局中 Hero 盈亏汇总</t>
        </is>
      </c>
      <c r="J342" s="8" t="inlineStr">
        <is>
          <t>对对手盈亏正例-多人底池取Hero整手净值</t>
        </is>
      </c>
      <c r="K342" s="9" t="inlineStr">
        <is>
          <t>正例</t>
        </is>
      </c>
      <c r="L342" s="8" t="inlineStr">
        <is>
          <t>1、已登录，当前用户是 Hero。
2、多人底池一手Hero整手净盈亏-80。对主要对手记账=-80，不拆给每个对手重复记账</t>
        </is>
      </c>
      <c r="M342" s="8" t="inlineStr">
        <is>
          <t>1、上传素材，生成复盘报告，等到能打开。
2、打开「对对手盈亏」，检查是否为-80。</t>
        </is>
      </c>
      <c r="N342" s="8" t="inlineStr">
        <is>
          <t>对对手盈亏=-80</t>
        </is>
      </c>
      <c r="O342" s="8" t="inlineStr">
        <is>
          <t>opponent_stats.profit_vs_opponent</t>
        </is>
      </c>
      <c r="P342" s="10" t="inlineStr">
        <is>
          <t>未执行</t>
        </is>
      </c>
      <c r="Q342" s="10" t="inlineStr"/>
      <c r="R342" s="11" t="inlineStr"/>
    </row>
    <row r="343" ht="72" customHeight="1">
      <c r="A343" s="5" t="inlineStr">
        <is>
          <t>TC-RPT-339</t>
        </is>
      </c>
      <c r="B343" s="5" t="inlineStr">
        <is>
          <t>ev_vs_opponent</t>
        </is>
      </c>
      <c r="C343" s="5" t="inlineStr">
        <is>
          <t>Hero 对该对手期望值</t>
        </is>
      </c>
      <c r="D343" s="14" t="inlineStr">
        <is>
          <t>P2</t>
        </is>
      </c>
      <c r="E343" s="7" t="inlineStr">
        <is>
          <t>等价类划分法</t>
        </is>
      </c>
      <c r="F343" s="7" t="inlineStr">
        <is>
          <t>对手数据</t>
        </is>
      </c>
      <c r="G343" s="7" t="inlineStr">
        <is>
          <t>内部</t>
        </is>
      </c>
      <c r="H343" s="8" t="inlineStr">
        <is>
          <t>Hero 对该对手的 EV 表现</t>
        </is>
      </c>
      <c r="I343" s="8" t="inlineStr">
        <is>
          <t>相关手牌 EV 汇总</t>
        </is>
      </c>
      <c r="J343" s="8" t="inlineStr">
        <is>
          <t>Hero 对该对手期望值正例-对对手共同参与手EV加总</t>
        </is>
      </c>
      <c r="K343" s="9" t="inlineStr">
        <is>
          <t>正例</t>
        </is>
      </c>
      <c r="L343" s="8" t="inlineStr">
        <is>
          <t>1、已登录，当前用户是 Hero。只用正例场。
2、素材里按口径手算「Hero 对该对手期望值」=n</t>
        </is>
      </c>
      <c r="M343" s="8" t="inlineStr">
        <is>
          <t>1、上传素材，生成复盘报告，等到能打开。
2、打开「Hero 对该对手期望值」，检查是否为n。</t>
        </is>
      </c>
      <c r="N343" s="8" t="inlineStr">
        <is>
          <t>Hero 对该对手期望值=n</t>
        </is>
      </c>
      <c r="O343" s="8" t="inlineStr">
        <is>
          <t>opponent_stats.ev_vs_opponent</t>
        </is>
      </c>
      <c r="P343" s="10" t="inlineStr">
        <is>
          <t>未执行</t>
        </is>
      </c>
      <c r="Q343" s="10" t="inlineStr"/>
      <c r="R343" s="11" t="inlineStr"/>
    </row>
    <row r="344" ht="72" customHeight="1">
      <c r="A344" s="5" t="inlineStr">
        <is>
          <t>TC-RPT-340</t>
        </is>
      </c>
      <c r="B344" s="5" t="inlineStr">
        <is>
          <t>ev_vs_opponent</t>
        </is>
      </c>
      <c r="C344" s="5" t="inlineStr">
        <is>
          <t>Hero 对该对手期望值</t>
        </is>
      </c>
      <c r="D344" s="14" t="inlineStr">
        <is>
          <t>P2</t>
        </is>
      </c>
      <c r="E344" s="7" t="inlineStr">
        <is>
          <t>边界值分析法</t>
        </is>
      </c>
      <c r="F344" s="7" t="inlineStr">
        <is>
          <t>对手数据</t>
        </is>
      </c>
      <c r="G344" s="7" t="inlineStr">
        <is>
          <t>内部</t>
        </is>
      </c>
      <c r="H344" s="8" t="inlineStr">
        <is>
          <t>Hero 对该对手的 EV 表现</t>
        </is>
      </c>
      <c r="I344" s="8" t="inlineStr">
        <is>
          <t>相关手牌 EV 汇总</t>
        </is>
      </c>
      <c r="J344" s="8" t="inlineStr">
        <is>
          <t>Hero 对该对手期望值正例-单位与换算正确</t>
        </is>
      </c>
      <c r="K344" s="9" t="inlineStr">
        <is>
          <t>正例</t>
        </is>
      </c>
      <c r="L344" s="8" t="inlineStr">
        <is>
          <t>1、已登录，当前用户是 Hero。
2、各手筹码和大盲已记下，按该手换算后「Hero 对该对手期望值」=n</t>
        </is>
      </c>
      <c r="M344" s="8" t="inlineStr">
        <is>
          <t>1、上传素材，生成复盘报告，等到能打开。
2、打开「Hero 对该对手期望值」，检查是否为n。</t>
        </is>
      </c>
      <c r="N344" s="8" t="inlineStr">
        <is>
          <t>Hero 对该对手期望值=n</t>
        </is>
      </c>
      <c r="O344" s="8" t="inlineStr">
        <is>
          <t>opponent_stats.ev_vs_opponent</t>
        </is>
      </c>
      <c r="P344" s="10" t="inlineStr">
        <is>
          <t>未执行</t>
        </is>
      </c>
      <c r="Q344" s="10" t="inlineStr"/>
      <c r="R344" s="11" t="inlineStr"/>
    </row>
    <row r="345" ht="72" customHeight="1">
      <c r="A345" s="5" t="inlineStr">
        <is>
          <t>TC-RPT-341</t>
        </is>
      </c>
      <c r="B345" s="5" t="inlineStr">
        <is>
          <t>opponent_vpip</t>
        </is>
      </c>
      <c r="C345" s="5" t="inlineStr">
        <is>
          <t>对手 VPIP</t>
        </is>
      </c>
      <c r="D345" s="14" t="inlineStr">
        <is>
          <t>P2</t>
        </is>
      </c>
      <c r="E345" s="7" t="inlineStr">
        <is>
          <t>等价类划分法</t>
        </is>
      </c>
      <c r="F345" s="7" t="inlineStr">
        <is>
          <t>对手数据</t>
        </is>
      </c>
      <c r="G345" s="7" t="inlineStr">
        <is>
          <t>内部</t>
        </is>
      </c>
      <c r="H345" s="8" t="inlineStr">
        <is>
          <t>对手自愿入池倾向</t>
        </is>
      </c>
      <c r="I345" s="8" t="inlineStr">
        <is>
          <t>对手自愿入池次数 / 可观察手数</t>
        </is>
      </c>
      <c r="J345" s="8" t="inlineStr">
        <is>
          <t>对手 VPIP正例-对手主动跟注或加注除以能看清对手动作的手</t>
        </is>
      </c>
      <c r="K345" s="9" t="inlineStr">
        <is>
          <t>正例</t>
        </is>
      </c>
      <c r="L345" s="8" t="inlineStr">
        <is>
          <t>1、已登录，当前用户是 Hero。只用正例场。
2、素材里「对手 VPIP」应对的值=n</t>
        </is>
      </c>
      <c r="M345" s="8" t="inlineStr">
        <is>
          <t>1、上传素材，生成复盘报告，等到能打开。
2、打开「对手 VPIP」，检查是否为n。</t>
        </is>
      </c>
      <c r="N345" s="8" t="inlineStr">
        <is>
          <t>对手 VPIP=n</t>
        </is>
      </c>
      <c r="O345" s="8" t="inlineStr">
        <is>
          <t>opponent_stats.opponent_vpip</t>
        </is>
      </c>
      <c r="P345" s="10" t="inlineStr">
        <is>
          <t>未执行</t>
        </is>
      </c>
      <c r="Q345" s="10" t="inlineStr"/>
      <c r="R345" s="11" t="inlineStr"/>
    </row>
    <row r="346" ht="72" customHeight="1">
      <c r="A346" s="5" t="inlineStr">
        <is>
          <t>TC-RPT-342</t>
        </is>
      </c>
      <c r="B346" s="5" t="inlineStr">
        <is>
          <t>opponent_vpip</t>
        </is>
      </c>
      <c r="C346" s="5" t="inlineStr">
        <is>
          <t>对手 VPIP</t>
        </is>
      </c>
      <c r="D346" s="14" t="inlineStr">
        <is>
          <t>P2</t>
        </is>
      </c>
      <c r="E346" s="7" t="inlineStr">
        <is>
          <t>等价类划分法</t>
        </is>
      </c>
      <c r="F346" s="7" t="inlineStr">
        <is>
          <t>对手数据</t>
        </is>
      </c>
      <c r="G346" s="7" t="inlineStr">
        <is>
          <t>内部</t>
        </is>
      </c>
      <c r="H346" s="8" t="inlineStr">
        <is>
          <t>对手自愿入池倾向</t>
        </is>
      </c>
      <c r="I346" s="8" t="inlineStr">
        <is>
          <t>对手自愿入池次数 / 可观察手数</t>
        </is>
      </c>
      <c r="J346" s="8" t="inlineStr">
        <is>
          <t>对手 VPIP反例-看不清仍算分母</t>
        </is>
      </c>
      <c r="K346" s="12" t="inlineStr">
        <is>
          <t>反例</t>
        </is>
      </c>
      <c r="L346" s="8" t="inlineStr">
        <is>
          <t>1、已登录，当前用户是 Hero。准备下列不该计入的素材。
2、看不清仍算分母，「对手 VPIP」仍=n</t>
        </is>
      </c>
      <c r="M346" s="8" t="inlineStr">
        <is>
          <t>1、上传素材，生成复盘报告，等到能打开。
2、打开「对手 VPIP」，检查是否为n。</t>
        </is>
      </c>
      <c r="N346" s="8" t="inlineStr">
        <is>
          <t>对手 VPIP=n</t>
        </is>
      </c>
      <c r="O346" s="8" t="inlineStr">
        <is>
          <t>opponent_stats.opponent_vpip</t>
        </is>
      </c>
      <c r="P346" s="10" t="inlineStr">
        <is>
          <t>未执行</t>
        </is>
      </c>
      <c r="Q346" s="10" t="inlineStr"/>
      <c r="R346" s="11" t="inlineStr"/>
    </row>
    <row r="347" ht="72" customHeight="1">
      <c r="A347" s="5" t="inlineStr">
        <is>
          <t>TC-RPT-343</t>
        </is>
      </c>
      <c r="B347" s="5" t="inlineStr">
        <is>
          <t>opponent_pfr</t>
        </is>
      </c>
      <c r="C347" s="5" t="inlineStr">
        <is>
          <t>对手 PFR</t>
        </is>
      </c>
      <c r="D347" s="14" t="inlineStr">
        <is>
          <t>P2</t>
        </is>
      </c>
      <c r="E347" s="7" t="inlineStr">
        <is>
          <t>等价类划分法</t>
        </is>
      </c>
      <c r="F347" s="7" t="inlineStr">
        <is>
          <t>对手数据</t>
        </is>
      </c>
      <c r="G347" s="7" t="inlineStr">
        <is>
          <t>内部</t>
        </is>
      </c>
      <c r="H347" s="8" t="inlineStr">
        <is>
          <t>对手翻前主动加注倾向</t>
        </is>
      </c>
      <c r="I347" s="8" t="inlineStr">
        <is>
          <t>对手翻前加注次数 / 可观察手数</t>
        </is>
      </c>
      <c r="J347" s="8" t="inlineStr">
        <is>
          <t>对手 PFR正例-对手翻前加注除以能看清对手动作的手</t>
        </is>
      </c>
      <c r="K347" s="9" t="inlineStr">
        <is>
          <t>正例</t>
        </is>
      </c>
      <c r="L347" s="8" t="inlineStr">
        <is>
          <t>1、已登录，当前用户是 Hero。只用正例场。
2、素材里「对手 PFR」应对的值=n</t>
        </is>
      </c>
      <c r="M347" s="8" t="inlineStr">
        <is>
          <t>1、上传素材，生成复盘报告，等到能打开。
2、打开「对手 PFR」，检查是否为n。</t>
        </is>
      </c>
      <c r="N347" s="8" t="inlineStr">
        <is>
          <t>对手 PFR=n</t>
        </is>
      </c>
      <c r="O347" s="8" t="inlineStr">
        <is>
          <t>opponent_stats.opponent_pfr</t>
        </is>
      </c>
      <c r="P347" s="10" t="inlineStr">
        <is>
          <t>未执行</t>
        </is>
      </c>
      <c r="Q347" s="10" t="inlineStr"/>
      <c r="R347" s="11" t="inlineStr"/>
    </row>
    <row r="348" ht="72" customHeight="1">
      <c r="A348" s="5" t="inlineStr">
        <is>
          <t>TC-RPT-344</t>
        </is>
      </c>
      <c r="B348" s="5" t="inlineStr">
        <is>
          <t>opponent_pfr</t>
        </is>
      </c>
      <c r="C348" s="5" t="inlineStr">
        <is>
          <t>对手 PFR</t>
        </is>
      </c>
      <c r="D348" s="14" t="inlineStr">
        <is>
          <t>P2</t>
        </is>
      </c>
      <c r="E348" s="7" t="inlineStr">
        <is>
          <t>等价类划分法</t>
        </is>
      </c>
      <c r="F348" s="7" t="inlineStr">
        <is>
          <t>对手数据</t>
        </is>
      </c>
      <c r="G348" s="7" t="inlineStr">
        <is>
          <t>内部</t>
        </is>
      </c>
      <c r="H348" s="8" t="inlineStr">
        <is>
          <t>对手翻前主动加注倾向</t>
        </is>
      </c>
      <c r="I348" s="8" t="inlineStr">
        <is>
          <t>对手翻前加注次数 / 可观察手数</t>
        </is>
      </c>
      <c r="J348" s="8" t="inlineStr">
        <is>
          <t>对手 PFR反例-对手平跟当加注</t>
        </is>
      </c>
      <c r="K348" s="12" t="inlineStr">
        <is>
          <t>反例</t>
        </is>
      </c>
      <c r="L348" s="8" t="inlineStr">
        <is>
          <t>1、已登录，当前用户是 Hero。准备下列不该计入的素材。
2、对手平跟当加注，「对手 PFR」仍=n</t>
        </is>
      </c>
      <c r="M348" s="8" t="inlineStr">
        <is>
          <t>1、上传素材，生成复盘报告，等到能打开。
2、打开「对手 PFR」，检查是否为n。</t>
        </is>
      </c>
      <c r="N348" s="8" t="inlineStr">
        <is>
          <t>对手 PFR=n</t>
        </is>
      </c>
      <c r="O348" s="8" t="inlineStr">
        <is>
          <t>opponent_stats.opponent_pfr</t>
        </is>
      </c>
      <c r="P348" s="10" t="inlineStr">
        <is>
          <t>未执行</t>
        </is>
      </c>
      <c r="Q348" s="10" t="inlineStr"/>
      <c r="R348" s="11" t="inlineStr"/>
    </row>
    <row r="349" ht="72" customHeight="1">
      <c r="A349" s="5" t="inlineStr">
        <is>
          <t>TC-RPT-345</t>
        </is>
      </c>
      <c r="B349" s="5" t="inlineStr">
        <is>
          <t>opponent_raise_rate</t>
        </is>
      </c>
      <c r="C349" s="5" t="inlineStr">
        <is>
          <t>对手加注倾向</t>
        </is>
      </c>
      <c r="D349" s="13" t="inlineStr">
        <is>
          <t>P1</t>
        </is>
      </c>
      <c r="E349" s="7" t="inlineStr">
        <is>
          <t>等价类划分法</t>
        </is>
      </c>
      <c r="F349" s="7" t="inlineStr">
        <is>
          <t>对手数据</t>
        </is>
      </c>
      <c r="G349" s="7" t="inlineStr">
        <is>
          <t>内部</t>
        </is>
      </c>
      <c r="H349" s="8" t="inlineStr">
        <is>
          <t>对手整体加注频率</t>
        </is>
      </c>
      <c r="I349" s="8" t="inlineStr">
        <is>
          <t>对手 raise 次数 / 可行动次数</t>
        </is>
      </c>
      <c r="J349" s="8" t="inlineStr">
        <is>
          <t>对手加注倾向正例-对手加注除以轮到可行动次数</t>
        </is>
      </c>
      <c r="K349" s="9" t="inlineStr">
        <is>
          <t>正例</t>
        </is>
      </c>
      <c r="L349" s="8" t="inlineStr">
        <is>
          <t>1、已登录，当前用户是 Hero。只用正例场。
2、素材里分子次数=a，分母次数=b，「对手加注倾向」应对=a/b</t>
        </is>
      </c>
      <c r="M349" s="8" t="inlineStr">
        <is>
          <t>1、上传素材，生成复盘报告，等到能打开。
2、打开「对手加注倾向」，检查是否为a/b。</t>
        </is>
      </c>
      <c r="N349" s="8" t="inlineStr">
        <is>
          <t>对手加注倾向=a/b</t>
        </is>
      </c>
      <c r="O349" s="8" t="inlineStr">
        <is>
          <t>opponent_stats.opponent_raise_rate</t>
        </is>
      </c>
      <c r="P349" s="10" t="inlineStr">
        <is>
          <t>未执行</t>
        </is>
      </c>
      <c r="Q349" s="10" t="inlineStr"/>
      <c r="R349" s="11" t="inlineStr"/>
    </row>
    <row r="350" ht="72" customHeight="1">
      <c r="A350" s="5" t="inlineStr">
        <is>
          <t>TC-RPT-346</t>
        </is>
      </c>
      <c r="B350" s="5" t="inlineStr">
        <is>
          <t>opponent_raise_rate</t>
        </is>
      </c>
      <c r="C350" s="5" t="inlineStr">
        <is>
          <t>对手加注倾向</t>
        </is>
      </c>
      <c r="D350" s="13" t="inlineStr">
        <is>
          <t>P1</t>
        </is>
      </c>
      <c r="E350" s="7" t="inlineStr">
        <is>
          <t>等价类划分法</t>
        </is>
      </c>
      <c r="F350" s="7" t="inlineStr">
        <is>
          <t>对手数据</t>
        </is>
      </c>
      <c r="G350" s="7" t="inlineStr">
        <is>
          <t>内部</t>
        </is>
      </c>
      <c r="H350" s="8" t="inlineStr">
        <is>
          <t>对手整体加注频率</t>
        </is>
      </c>
      <c r="I350" s="8" t="inlineStr">
        <is>
          <t>对手 raise 次数 / 可行动次数</t>
        </is>
      </c>
      <c r="J350" s="8" t="inlineStr">
        <is>
          <t>对手加注倾向反例-没轮到对手算分母</t>
        </is>
      </c>
      <c r="K350" s="12" t="inlineStr">
        <is>
          <t>反例</t>
        </is>
      </c>
      <c r="L350" s="8" t="inlineStr">
        <is>
          <t>1、已登录，当前用户是 Hero。准备下列不该计入的素材。
2、没轮到对手算分母，「对手加注倾向」仍=a/b</t>
        </is>
      </c>
      <c r="M350" s="8" t="inlineStr">
        <is>
          <t>1、上传素材，生成复盘报告，等到能打开。
2、打开「对手加注倾向」，检查是否为a/b。</t>
        </is>
      </c>
      <c r="N350" s="8" t="inlineStr">
        <is>
          <t>对手加注倾向=a/b</t>
        </is>
      </c>
      <c r="O350" s="8" t="inlineStr">
        <is>
          <t>opponent_stats.opponent_raise_rate</t>
        </is>
      </c>
      <c r="P350" s="10" t="inlineStr">
        <is>
          <t>未执行</t>
        </is>
      </c>
      <c r="Q350" s="10" t="inlineStr"/>
      <c r="R350" s="11" t="inlineStr"/>
    </row>
    <row r="351" ht="72" customHeight="1">
      <c r="A351" s="5" t="inlineStr">
        <is>
          <t>TC-RPT-347</t>
        </is>
      </c>
      <c r="B351" s="5" t="inlineStr">
        <is>
          <t>opponent_raise_rate</t>
        </is>
      </c>
      <c r="C351" s="5" t="inlineStr">
        <is>
          <t>对手加注倾向</t>
        </is>
      </c>
      <c r="D351" s="13" t="inlineStr">
        <is>
          <t>P1</t>
        </is>
      </c>
      <c r="E351" s="7" t="inlineStr">
        <is>
          <t>因果图法</t>
        </is>
      </c>
      <c r="F351" s="7" t="inlineStr">
        <is>
          <t>对手数据</t>
        </is>
      </c>
      <c r="G351" s="7" t="inlineStr">
        <is>
          <t>内部</t>
        </is>
      </c>
      <c r="H351" s="8" t="inlineStr">
        <is>
          <t>对手整体加注频率</t>
        </is>
      </c>
      <c r="I351" s="8" t="inlineStr">
        <is>
          <t>对手 raise 次数 / 可行动次数</t>
        </is>
      </c>
      <c r="J351" s="8" t="inlineStr">
        <is>
          <t>对手加注倾向正例-对手可加注却跟或弃</t>
        </is>
      </c>
      <c r="K351" s="9" t="inlineStr">
        <is>
          <t>正例</t>
        </is>
      </c>
      <c r="L351" s="8" t="inlineStr">
        <is>
          <t>1、已登录，当前用户是 Hero。
2、对手轮到可加注时选择跟或弃。这次分母加1，分子不加
3、手算分子=a、分母=b，「对手加注倾向」应为=a/b</t>
        </is>
      </c>
      <c r="M351" s="8" t="inlineStr">
        <is>
          <t>1、上传素材，生成复盘报告，等到能打开。
2、打开「对手加注倾向」，检查是否为a/b。</t>
        </is>
      </c>
      <c r="N351" s="8" t="inlineStr">
        <is>
          <t>对手加注倾向=a/b</t>
        </is>
      </c>
      <c r="O351" s="8" t="inlineStr">
        <is>
          <t>opponent_stats.opponent_raise_rate</t>
        </is>
      </c>
      <c r="P351" s="10" t="inlineStr">
        <is>
          <t>未执行</t>
        </is>
      </c>
      <c r="Q351" s="10" t="inlineStr"/>
      <c r="R351" s="11" t="inlineStr"/>
    </row>
    <row r="352" ht="72" customHeight="1">
      <c r="A352" s="5" t="inlineStr">
        <is>
          <t>TC-RPT-348</t>
        </is>
      </c>
      <c r="B352" s="5" t="inlineStr">
        <is>
          <t>opponent_raise_rate</t>
        </is>
      </c>
      <c r="C352" s="5" t="inlineStr">
        <is>
          <t>对手加注倾向</t>
        </is>
      </c>
      <c r="D352" s="13" t="inlineStr">
        <is>
          <t>P1</t>
        </is>
      </c>
      <c r="E352" s="7" t="inlineStr">
        <is>
          <t>边界值分析法</t>
        </is>
      </c>
      <c r="F352" s="7" t="inlineStr">
        <is>
          <t>对手数据</t>
        </is>
      </c>
      <c r="G352" s="7" t="inlineStr">
        <is>
          <t>内部</t>
        </is>
      </c>
      <c r="H352" s="8" t="inlineStr">
        <is>
          <t>对手整体加注频率</t>
        </is>
      </c>
      <c r="I352" s="8" t="inlineStr">
        <is>
          <t>对手 raise 次数 / 可行动次数</t>
        </is>
      </c>
      <c r="J352" s="8" t="inlineStr">
        <is>
          <t>对手加注倾向反例-分母为0字段不出现</t>
        </is>
      </c>
      <c r="K352" s="12" t="inlineStr">
        <is>
          <t>反例</t>
        </is>
      </c>
      <c r="L352" s="8" t="inlineStr">
        <is>
          <t>1、已登录，当前用户是 Hero。
2、对手没有可行动次。「对手加注倾向」应为空或不出现，不能写成 0% 或 100%。</t>
        </is>
      </c>
      <c r="M352" s="8" t="inlineStr">
        <is>
          <t>1、上传素材，生成复盘报告，等到能打开。
2、打开「对手加注倾向」，检查是否为空或不出现。</t>
        </is>
      </c>
      <c r="N352" s="8" t="inlineStr">
        <is>
          <t>对手加注倾向为空或不出现</t>
        </is>
      </c>
      <c r="O352" s="8" t="inlineStr">
        <is>
          <t>opponent_stats.opponent_raise_rate</t>
        </is>
      </c>
      <c r="P352" s="10" t="inlineStr">
        <is>
          <t>未执行</t>
        </is>
      </c>
      <c r="Q352" s="10" t="inlineStr"/>
      <c r="R352" s="11" t="inlineStr"/>
    </row>
    <row r="353" ht="72" customHeight="1">
      <c r="A353" s="5" t="inlineStr">
        <is>
          <t>TC-RPT-349</t>
        </is>
      </c>
      <c r="B353" s="5" t="inlineStr">
        <is>
          <t>opponent_raise_rate</t>
        </is>
      </c>
      <c r="C353" s="5" t="inlineStr">
        <is>
          <t>对手加注倾向</t>
        </is>
      </c>
      <c r="D353" s="13" t="inlineStr">
        <is>
          <t>P1</t>
        </is>
      </c>
      <c r="E353" s="7" t="inlineStr">
        <is>
          <t>边界值分析法</t>
        </is>
      </c>
      <c r="F353" s="7" t="inlineStr">
        <is>
          <t>对手数据</t>
        </is>
      </c>
      <c r="G353" s="7" t="inlineStr">
        <is>
          <t>内部</t>
        </is>
      </c>
      <c r="H353" s="8" t="inlineStr">
        <is>
          <t>对手整体加注频率</t>
        </is>
      </c>
      <c r="I353" s="8" t="inlineStr">
        <is>
          <t>对手 raise 次数 / 可行动次数</t>
        </is>
      </c>
      <c r="J353" s="8" t="inlineStr">
        <is>
          <t>对手加注倾向正例-单位与换算正确</t>
        </is>
      </c>
      <c r="K353" s="9" t="inlineStr">
        <is>
          <t>正例</t>
        </is>
      </c>
      <c r="L353" s="8" t="inlineStr">
        <is>
          <t>1、已登录，当前用户是 Hero。
2、各手筹码和大盲已记下，按该手换算后「对手加注倾向」=n</t>
        </is>
      </c>
      <c r="M353" s="8" t="inlineStr">
        <is>
          <t>1、上传素材，生成复盘报告，等到能打开。
2、打开「对手加注倾向」，检查是否为n。</t>
        </is>
      </c>
      <c r="N353" s="8" t="inlineStr">
        <is>
          <t>对手加注倾向=n</t>
        </is>
      </c>
      <c r="O353" s="8" t="inlineStr">
        <is>
          <t>opponent_stats.opponent_raise_rate</t>
        </is>
      </c>
      <c r="P353" s="10" t="inlineStr">
        <is>
          <t>未执行</t>
        </is>
      </c>
      <c r="Q353" s="10" t="inlineStr"/>
      <c r="R353" s="11" t="inlineStr"/>
    </row>
    <row r="354" ht="72" customHeight="1">
      <c r="A354" s="5" t="inlineStr">
        <is>
          <t>TC-RPT-350</t>
        </is>
      </c>
      <c r="B354" s="5" t="inlineStr">
        <is>
          <t>opponent_call_rate</t>
        </is>
      </c>
      <c r="C354" s="5" t="inlineStr">
        <is>
          <t>对手跟注倾向</t>
        </is>
      </c>
      <c r="D354" s="13" t="inlineStr">
        <is>
          <t>P1</t>
        </is>
      </c>
      <c r="E354" s="7" t="inlineStr">
        <is>
          <t>等价类划分法</t>
        </is>
      </c>
      <c r="F354" s="7" t="inlineStr">
        <is>
          <t>对手数据</t>
        </is>
      </c>
      <c r="G354" s="7" t="inlineStr">
        <is>
          <t>内部</t>
        </is>
      </c>
      <c r="H354" s="8" t="inlineStr">
        <is>
          <t>对手面对下注的跟注频率</t>
        </is>
      </c>
      <c r="I354" s="8" t="inlineStr">
        <is>
          <t>对手 call 次数 / 面对下注次数</t>
        </is>
      </c>
      <c r="J354" s="8" t="inlineStr">
        <is>
          <t>对手跟注倾向正例-对手跟注除以面对下注次数</t>
        </is>
      </c>
      <c r="K354" s="9" t="inlineStr">
        <is>
          <t>正例</t>
        </is>
      </c>
      <c r="L354" s="8" t="inlineStr">
        <is>
          <t>1、已登录，当前用户是 Hero。只用正例场。
2、素材里分子次数=a，分母次数=b，「对手跟注倾向」应对=a/b</t>
        </is>
      </c>
      <c r="M354" s="8" t="inlineStr">
        <is>
          <t>1、上传素材，生成复盘报告，等到能打开。
2、打开「对手跟注倾向」，检查是否为a/b。</t>
        </is>
      </c>
      <c r="N354" s="8" t="inlineStr">
        <is>
          <t>对手跟注倾向=a/b</t>
        </is>
      </c>
      <c r="O354" s="8" t="inlineStr">
        <is>
          <t>opponent_stats.opponent_call_rate</t>
        </is>
      </c>
      <c r="P354" s="10" t="inlineStr">
        <is>
          <t>未执行</t>
        </is>
      </c>
      <c r="Q354" s="10" t="inlineStr"/>
      <c r="R354" s="11" t="inlineStr"/>
    </row>
    <row r="355" ht="72" customHeight="1">
      <c r="A355" s="5" t="inlineStr">
        <is>
          <t>TC-RPT-351</t>
        </is>
      </c>
      <c r="B355" s="5" t="inlineStr">
        <is>
          <t>opponent_call_rate</t>
        </is>
      </c>
      <c r="C355" s="5" t="inlineStr">
        <is>
          <t>对手跟注倾向</t>
        </is>
      </c>
      <c r="D355" s="13" t="inlineStr">
        <is>
          <t>P1</t>
        </is>
      </c>
      <c r="E355" s="7" t="inlineStr">
        <is>
          <t>等价类划分法</t>
        </is>
      </c>
      <c r="F355" s="7" t="inlineStr">
        <is>
          <t>对手数据</t>
        </is>
      </c>
      <c r="G355" s="7" t="inlineStr">
        <is>
          <t>内部</t>
        </is>
      </c>
      <c r="H355" s="8" t="inlineStr">
        <is>
          <t>对手面对下注的跟注频率</t>
        </is>
      </c>
      <c r="I355" s="8" t="inlineStr">
        <is>
          <t>对手 call 次数 / 面对下注次数</t>
        </is>
      </c>
      <c r="J355" s="8" t="inlineStr">
        <is>
          <t>对手跟注倾向反例-对手自己下注当跟</t>
        </is>
      </c>
      <c r="K355" s="12" t="inlineStr">
        <is>
          <t>反例</t>
        </is>
      </c>
      <c r="L355" s="8" t="inlineStr">
        <is>
          <t>1、已登录，当前用户是 Hero。准备下列不该计入的素材。
2、对手自己下注当跟，「对手跟注倾向」仍=a/b</t>
        </is>
      </c>
      <c r="M355" s="8" t="inlineStr">
        <is>
          <t>1、上传素材，生成复盘报告，等到能打开。
2、打开「对手跟注倾向」，检查是否为a/b。</t>
        </is>
      </c>
      <c r="N355" s="8" t="inlineStr">
        <is>
          <t>对手跟注倾向=a/b</t>
        </is>
      </c>
      <c r="O355" s="8" t="inlineStr">
        <is>
          <t>opponent_stats.opponent_call_rate</t>
        </is>
      </c>
      <c r="P355" s="10" t="inlineStr">
        <is>
          <t>未执行</t>
        </is>
      </c>
      <c r="Q355" s="10" t="inlineStr"/>
      <c r="R355" s="11" t="inlineStr"/>
    </row>
    <row r="356" ht="72" customHeight="1">
      <c r="A356" s="5" t="inlineStr">
        <is>
          <t>TC-RPT-352</t>
        </is>
      </c>
      <c r="B356" s="5" t="inlineStr">
        <is>
          <t>opponent_call_rate</t>
        </is>
      </c>
      <c r="C356" s="5" t="inlineStr">
        <is>
          <t>对手跟注倾向</t>
        </is>
      </c>
      <c r="D356" s="13" t="inlineStr">
        <is>
          <t>P1</t>
        </is>
      </c>
      <c r="E356" s="7" t="inlineStr">
        <is>
          <t>因果图法</t>
        </is>
      </c>
      <c r="F356" s="7" t="inlineStr">
        <is>
          <t>对手数据</t>
        </is>
      </c>
      <c r="G356" s="7" t="inlineStr">
        <is>
          <t>内部</t>
        </is>
      </c>
      <c r="H356" s="8" t="inlineStr">
        <is>
          <t>对手面对下注的跟注频率</t>
        </is>
      </c>
      <c r="I356" s="8" t="inlineStr">
        <is>
          <t>对手 call 次数 / 面对下注次数</t>
        </is>
      </c>
      <c r="J356" s="8" t="inlineStr">
        <is>
          <t>对手跟注倾向正例-对手面对下注弃或加</t>
        </is>
      </c>
      <c r="K356" s="9" t="inlineStr">
        <is>
          <t>正例</t>
        </is>
      </c>
      <c r="L356" s="8" t="inlineStr">
        <is>
          <t>1、已登录，当前用户是 Hero。
2、对手面对下注选择弃或加。这次分母加1，分子不加
3、手算分子=a、分母=b，「对手跟注倾向」应为=a/b</t>
        </is>
      </c>
      <c r="M356" s="8" t="inlineStr">
        <is>
          <t>1、上传素材，生成复盘报告，等到能打开。
2、打开「对手跟注倾向」，检查是否为a/b。</t>
        </is>
      </c>
      <c r="N356" s="8" t="inlineStr">
        <is>
          <t>对手跟注倾向=a/b</t>
        </is>
      </c>
      <c r="O356" s="8" t="inlineStr">
        <is>
          <t>opponent_stats.opponent_call_rate</t>
        </is>
      </c>
      <c r="P356" s="10" t="inlineStr">
        <is>
          <t>未执行</t>
        </is>
      </c>
      <c r="Q356" s="10" t="inlineStr"/>
      <c r="R356" s="11" t="inlineStr"/>
    </row>
    <row r="357" ht="72" customHeight="1">
      <c r="A357" s="5" t="inlineStr">
        <is>
          <t>TC-RPT-353</t>
        </is>
      </c>
      <c r="B357" s="5" t="inlineStr">
        <is>
          <t>opponent_call_rate</t>
        </is>
      </c>
      <c r="C357" s="5" t="inlineStr">
        <is>
          <t>对手跟注倾向</t>
        </is>
      </c>
      <c r="D357" s="13" t="inlineStr">
        <is>
          <t>P1</t>
        </is>
      </c>
      <c r="E357" s="7" t="inlineStr">
        <is>
          <t>边界值分析法</t>
        </is>
      </c>
      <c r="F357" s="7" t="inlineStr">
        <is>
          <t>对手数据</t>
        </is>
      </c>
      <c r="G357" s="7" t="inlineStr">
        <is>
          <t>内部</t>
        </is>
      </c>
      <c r="H357" s="8" t="inlineStr">
        <is>
          <t>对手面对下注的跟注频率</t>
        </is>
      </c>
      <c r="I357" s="8" t="inlineStr">
        <is>
          <t>对手 call 次数 / 面对下注次数</t>
        </is>
      </c>
      <c r="J357" s="8" t="inlineStr">
        <is>
          <t>对手跟注倾向反例-分母为0字段不出现</t>
        </is>
      </c>
      <c r="K357" s="12" t="inlineStr">
        <is>
          <t>反例</t>
        </is>
      </c>
      <c r="L357" s="8" t="inlineStr">
        <is>
          <t>1、已登录，当前用户是 Hero。
2、对手从未面对下注。「对手跟注倾向」应为空或不出现，不能写成 0% 或 100%。</t>
        </is>
      </c>
      <c r="M357" s="8" t="inlineStr">
        <is>
          <t>1、上传素材，生成复盘报告，等到能打开。
2、打开「对手跟注倾向」，检查是否为空或不出现。</t>
        </is>
      </c>
      <c r="N357" s="8" t="inlineStr">
        <is>
          <t>对手跟注倾向为空或不出现</t>
        </is>
      </c>
      <c r="O357" s="8" t="inlineStr">
        <is>
          <t>opponent_stats.opponent_call_rate</t>
        </is>
      </c>
      <c r="P357" s="10" t="inlineStr">
        <is>
          <t>未执行</t>
        </is>
      </c>
      <c r="Q357" s="10" t="inlineStr"/>
      <c r="R357" s="11" t="inlineStr"/>
    </row>
    <row r="358" ht="72" customHeight="1">
      <c r="A358" s="5" t="inlineStr">
        <is>
          <t>TC-RPT-354</t>
        </is>
      </c>
      <c r="B358" s="5" t="inlineStr">
        <is>
          <t>opponent_call_rate</t>
        </is>
      </c>
      <c r="C358" s="5" t="inlineStr">
        <is>
          <t>对手跟注倾向</t>
        </is>
      </c>
      <c r="D358" s="13" t="inlineStr">
        <is>
          <t>P1</t>
        </is>
      </c>
      <c r="E358" s="7" t="inlineStr">
        <is>
          <t>边界值分析法</t>
        </is>
      </c>
      <c r="F358" s="7" t="inlineStr">
        <is>
          <t>对手数据</t>
        </is>
      </c>
      <c r="G358" s="7" t="inlineStr">
        <is>
          <t>内部</t>
        </is>
      </c>
      <c r="H358" s="8" t="inlineStr">
        <is>
          <t>对手面对下注的跟注频率</t>
        </is>
      </c>
      <c r="I358" s="8" t="inlineStr">
        <is>
          <t>对手 call 次数 / 面对下注次数</t>
        </is>
      </c>
      <c r="J358" s="8" t="inlineStr">
        <is>
          <t>对手跟注倾向正例-单位与换算正确</t>
        </is>
      </c>
      <c r="K358" s="9" t="inlineStr">
        <is>
          <t>正例</t>
        </is>
      </c>
      <c r="L358" s="8" t="inlineStr">
        <is>
          <t>1、已登录，当前用户是 Hero。
2、各手筹码和大盲已记下，按该手换算后「对手跟注倾向」=n</t>
        </is>
      </c>
      <c r="M358" s="8" t="inlineStr">
        <is>
          <t>1、上传素材，生成复盘报告，等到能打开。
2、打开「对手跟注倾向」，检查是否为n。</t>
        </is>
      </c>
      <c r="N358" s="8" t="inlineStr">
        <is>
          <t>对手跟注倾向=n</t>
        </is>
      </c>
      <c r="O358" s="8" t="inlineStr">
        <is>
          <t>opponent_stats.opponent_call_rate</t>
        </is>
      </c>
      <c r="P358" s="10" t="inlineStr">
        <is>
          <t>未执行</t>
        </is>
      </c>
      <c r="Q358" s="10" t="inlineStr"/>
      <c r="R358" s="11" t="inlineStr"/>
    </row>
    <row r="359" ht="72" customHeight="1">
      <c r="A359" s="5" t="inlineStr">
        <is>
          <t>TC-RPT-355</t>
        </is>
      </c>
      <c r="B359" s="5" t="inlineStr">
        <is>
          <t>opponent_fold_rate</t>
        </is>
      </c>
      <c r="C359" s="5" t="inlineStr">
        <is>
          <t>对手弃牌倾向</t>
        </is>
      </c>
      <c r="D359" s="13" t="inlineStr">
        <is>
          <t>P1</t>
        </is>
      </c>
      <c r="E359" s="7" t="inlineStr">
        <is>
          <t>等价类划分法</t>
        </is>
      </c>
      <c r="F359" s="7" t="inlineStr">
        <is>
          <t>对手数据</t>
        </is>
      </c>
      <c r="G359" s="7" t="inlineStr">
        <is>
          <t>内部</t>
        </is>
      </c>
      <c r="H359" s="8" t="inlineStr">
        <is>
          <t>对手面对下注的弃牌频率</t>
        </is>
      </c>
      <c r="I359" s="8" t="inlineStr">
        <is>
          <t>对手 fold 次数 / 面对下注次数</t>
        </is>
      </c>
      <c r="J359" s="8" t="inlineStr">
        <is>
          <t>对手弃牌倾向正例-对手弃牌除以面对下注次数</t>
        </is>
      </c>
      <c r="K359" s="9" t="inlineStr">
        <is>
          <t>正例</t>
        </is>
      </c>
      <c r="L359" s="8" t="inlineStr">
        <is>
          <t>1、已登录，当前用户是 Hero。只用正例场。
2、素材里分子次数=a，分母次数=b，「对手弃牌倾向」应对=a/b</t>
        </is>
      </c>
      <c r="M359" s="8" t="inlineStr">
        <is>
          <t>1、上传素材，生成复盘报告，等到能打开。
2、打开「对手弃牌倾向」，检查是否为a/b。</t>
        </is>
      </c>
      <c r="N359" s="8" t="inlineStr">
        <is>
          <t>对手弃牌倾向=a/b</t>
        </is>
      </c>
      <c r="O359" s="8" t="inlineStr">
        <is>
          <t>opponent_stats.opponent_fold_rate</t>
        </is>
      </c>
      <c r="P359" s="10" t="inlineStr">
        <is>
          <t>未执行</t>
        </is>
      </c>
      <c r="Q359" s="10" t="inlineStr"/>
      <c r="R359" s="11" t="inlineStr"/>
    </row>
    <row r="360" ht="72" customHeight="1">
      <c r="A360" s="5" t="inlineStr">
        <is>
          <t>TC-RPT-356</t>
        </is>
      </c>
      <c r="B360" s="5" t="inlineStr">
        <is>
          <t>opponent_fold_rate</t>
        </is>
      </c>
      <c r="C360" s="5" t="inlineStr">
        <is>
          <t>对手弃牌倾向</t>
        </is>
      </c>
      <c r="D360" s="13" t="inlineStr">
        <is>
          <t>P1</t>
        </is>
      </c>
      <c r="E360" s="7" t="inlineStr">
        <is>
          <t>等价类划分法</t>
        </is>
      </c>
      <c r="F360" s="7" t="inlineStr">
        <is>
          <t>对手数据</t>
        </is>
      </c>
      <c r="G360" s="7" t="inlineStr">
        <is>
          <t>内部</t>
        </is>
      </c>
      <c r="H360" s="8" t="inlineStr">
        <is>
          <t>对手面对下注的弃牌频率</t>
        </is>
      </c>
      <c r="I360" s="8" t="inlineStr">
        <is>
          <t>对手 fold 次数 / 面对下注次数</t>
        </is>
      </c>
      <c r="J360" s="8" t="inlineStr">
        <is>
          <t>对手弃牌倾向反例-无人下注的弃牌</t>
        </is>
      </c>
      <c r="K360" s="12" t="inlineStr">
        <is>
          <t>反例</t>
        </is>
      </c>
      <c r="L360" s="8" t="inlineStr">
        <is>
          <t>1、已登录，当前用户是 Hero。准备下列不该计入的素材。
2、无人下注的弃牌，「对手弃牌倾向」仍=a/b</t>
        </is>
      </c>
      <c r="M360" s="8" t="inlineStr">
        <is>
          <t>1、上传素材，生成复盘报告，等到能打开。
2、打开「对手弃牌倾向」，检查是否为a/b。</t>
        </is>
      </c>
      <c r="N360" s="8" t="inlineStr">
        <is>
          <t>对手弃牌倾向=a/b</t>
        </is>
      </c>
      <c r="O360" s="8" t="inlineStr">
        <is>
          <t>opponent_stats.opponent_fold_rate</t>
        </is>
      </c>
      <c r="P360" s="10" t="inlineStr">
        <is>
          <t>未执行</t>
        </is>
      </c>
      <c r="Q360" s="10" t="inlineStr"/>
      <c r="R360" s="11" t="inlineStr"/>
    </row>
    <row r="361" ht="72" customHeight="1">
      <c r="A361" s="5" t="inlineStr">
        <is>
          <t>TC-RPT-357</t>
        </is>
      </c>
      <c r="B361" s="5" t="inlineStr">
        <is>
          <t>opponent_fold_rate</t>
        </is>
      </c>
      <c r="C361" s="5" t="inlineStr">
        <is>
          <t>对手弃牌倾向</t>
        </is>
      </c>
      <c r="D361" s="13" t="inlineStr">
        <is>
          <t>P1</t>
        </is>
      </c>
      <c r="E361" s="7" t="inlineStr">
        <is>
          <t>因果图法</t>
        </is>
      </c>
      <c r="F361" s="7" t="inlineStr">
        <is>
          <t>对手数据</t>
        </is>
      </c>
      <c r="G361" s="7" t="inlineStr">
        <is>
          <t>内部</t>
        </is>
      </c>
      <c r="H361" s="8" t="inlineStr">
        <is>
          <t>对手面对下注的弃牌频率</t>
        </is>
      </c>
      <c r="I361" s="8" t="inlineStr">
        <is>
          <t>对手 fold 次数 / 面对下注次数</t>
        </is>
      </c>
      <c r="J361" s="8" t="inlineStr">
        <is>
          <t>对手弃牌倾向正例-对手面对下注跟或加</t>
        </is>
      </c>
      <c r="K361" s="9" t="inlineStr">
        <is>
          <t>正例</t>
        </is>
      </c>
      <c r="L361" s="8" t="inlineStr">
        <is>
          <t>1、已登录，当前用户是 Hero。
2、对手面对下注选择跟或加。这次分母加1，分子不加
3、手算分子=a、分母=b，「对手弃牌倾向」应为=a/b</t>
        </is>
      </c>
      <c r="M361" s="8" t="inlineStr">
        <is>
          <t>1、上传素材，生成复盘报告，等到能打开。
2、打开「对手弃牌倾向」，检查是否为a/b。</t>
        </is>
      </c>
      <c r="N361" s="8" t="inlineStr">
        <is>
          <t>对手弃牌倾向=a/b</t>
        </is>
      </c>
      <c r="O361" s="8" t="inlineStr">
        <is>
          <t>opponent_stats.opponent_fold_rate</t>
        </is>
      </c>
      <c r="P361" s="10" t="inlineStr">
        <is>
          <t>未执行</t>
        </is>
      </c>
      <c r="Q361" s="10" t="inlineStr"/>
      <c r="R361" s="11" t="inlineStr"/>
    </row>
    <row r="362" ht="72" customHeight="1">
      <c r="A362" s="5" t="inlineStr">
        <is>
          <t>TC-RPT-358</t>
        </is>
      </c>
      <c r="B362" s="5" t="inlineStr">
        <is>
          <t>opponent_fold_rate</t>
        </is>
      </c>
      <c r="C362" s="5" t="inlineStr">
        <is>
          <t>对手弃牌倾向</t>
        </is>
      </c>
      <c r="D362" s="13" t="inlineStr">
        <is>
          <t>P1</t>
        </is>
      </c>
      <c r="E362" s="7" t="inlineStr">
        <is>
          <t>边界值分析法</t>
        </is>
      </c>
      <c r="F362" s="7" t="inlineStr">
        <is>
          <t>对手数据</t>
        </is>
      </c>
      <c r="G362" s="7" t="inlineStr">
        <is>
          <t>内部</t>
        </is>
      </c>
      <c r="H362" s="8" t="inlineStr">
        <is>
          <t>对手面对下注的弃牌频率</t>
        </is>
      </c>
      <c r="I362" s="8" t="inlineStr">
        <is>
          <t>对手 fold 次数 / 面对下注次数</t>
        </is>
      </c>
      <c r="J362" s="8" t="inlineStr">
        <is>
          <t>对手弃牌倾向反例-分母为0字段不出现</t>
        </is>
      </c>
      <c r="K362" s="12" t="inlineStr">
        <is>
          <t>反例</t>
        </is>
      </c>
      <c r="L362" s="8" t="inlineStr">
        <is>
          <t>1、已登录，当前用户是 Hero。
2、对手从未面对下注。「对手弃牌倾向」应为空或不出现，不能写成 0% 或 100%。</t>
        </is>
      </c>
      <c r="M362" s="8" t="inlineStr">
        <is>
          <t>1、上传素材，生成复盘报告，等到能打开。
2、打开「对手弃牌倾向」，检查是否为空或不出现。</t>
        </is>
      </c>
      <c r="N362" s="8" t="inlineStr">
        <is>
          <t>对手弃牌倾向为空或不出现</t>
        </is>
      </c>
      <c r="O362" s="8" t="inlineStr">
        <is>
          <t>opponent_stats.opponent_fold_rate</t>
        </is>
      </c>
      <c r="P362" s="10" t="inlineStr">
        <is>
          <t>未执行</t>
        </is>
      </c>
      <c r="Q362" s="10" t="inlineStr"/>
      <c r="R362" s="11" t="inlineStr"/>
    </row>
    <row r="363" ht="72" customHeight="1">
      <c r="A363" s="5" t="inlineStr">
        <is>
          <t>TC-RPT-359</t>
        </is>
      </c>
      <c r="B363" s="5" t="inlineStr">
        <is>
          <t>opponent_fold_rate</t>
        </is>
      </c>
      <c r="C363" s="5" t="inlineStr">
        <is>
          <t>对手弃牌倾向</t>
        </is>
      </c>
      <c r="D363" s="13" t="inlineStr">
        <is>
          <t>P1</t>
        </is>
      </c>
      <c r="E363" s="7" t="inlineStr">
        <is>
          <t>边界值分析法</t>
        </is>
      </c>
      <c r="F363" s="7" t="inlineStr">
        <is>
          <t>对手数据</t>
        </is>
      </c>
      <c r="G363" s="7" t="inlineStr">
        <is>
          <t>内部</t>
        </is>
      </c>
      <c r="H363" s="8" t="inlineStr">
        <is>
          <t>对手面对下注的弃牌频率</t>
        </is>
      </c>
      <c r="I363" s="8" t="inlineStr">
        <is>
          <t>对手 fold 次数 / 面对下注次数</t>
        </is>
      </c>
      <c r="J363" s="8" t="inlineStr">
        <is>
          <t>对手弃牌倾向正例-单位与换算正确</t>
        </is>
      </c>
      <c r="K363" s="9" t="inlineStr">
        <is>
          <t>正例</t>
        </is>
      </c>
      <c r="L363" s="8" t="inlineStr">
        <is>
          <t>1、已登录，当前用户是 Hero。
2、各手筹码和大盲已记下，按该手换算后「对手弃牌倾向」=n</t>
        </is>
      </c>
      <c r="M363" s="8" t="inlineStr">
        <is>
          <t>1、上传素材，生成复盘报告，等到能打开。
2、打开「对手弃牌倾向」，检查是否为n。</t>
        </is>
      </c>
      <c r="N363" s="8" t="inlineStr">
        <is>
          <t>对手弃牌倾向=n</t>
        </is>
      </c>
      <c r="O363" s="8" t="inlineStr">
        <is>
          <t>opponent_stats.opponent_fold_rate</t>
        </is>
      </c>
      <c r="P363" s="10" t="inlineStr">
        <is>
          <t>未执行</t>
        </is>
      </c>
      <c r="Q363" s="10" t="inlineStr"/>
      <c r="R363" s="11" t="inlineStr"/>
    </row>
    <row r="364" ht="72" customHeight="1">
      <c r="A364" s="5" t="inlineStr">
        <is>
          <t>TC-RPT-360</t>
        </is>
      </c>
      <c r="B364" s="5" t="inlineStr">
        <is>
          <t>opponent_3bet_rate</t>
        </is>
      </c>
      <c r="C364" s="5" t="inlineStr">
        <is>
          <t>对手 3-Bet 倾向</t>
        </is>
      </c>
      <c r="D364" s="14" t="inlineStr">
        <is>
          <t>P2</t>
        </is>
      </c>
      <c r="E364" s="7" t="inlineStr">
        <is>
          <t>等价类划分法</t>
        </is>
      </c>
      <c r="F364" s="7" t="inlineStr">
        <is>
          <t>对手数据</t>
        </is>
      </c>
      <c r="G364" s="7" t="inlineStr">
        <is>
          <t>内部</t>
        </is>
      </c>
      <c r="H364" s="8" t="inlineStr">
        <is>
          <t>对手翻前反加频率</t>
        </is>
      </c>
      <c r="I364" s="8" t="inlineStr">
        <is>
          <t>对手 3-Bet 次数 / 面对 open raise 次数</t>
        </is>
      </c>
      <c r="J364" s="8" t="inlineStr">
        <is>
          <t>对手 3-Bet 倾向正例-对手再加注除以面对加注次数</t>
        </is>
      </c>
      <c r="K364" s="9" t="inlineStr">
        <is>
          <t>正例</t>
        </is>
      </c>
      <c r="L364" s="8" t="inlineStr">
        <is>
          <t>1、已登录，当前用户是 Hero。只用正例场。
2、素材里分子次数=a，分母次数=b，「对手 3-Bet 倾向」应对=a/b</t>
        </is>
      </c>
      <c r="M364" s="8" t="inlineStr">
        <is>
          <t>1、上传素材，生成复盘报告，等到能打开。
2、打开「对手 3-Bet 倾向」，检查是否为a/b。</t>
        </is>
      </c>
      <c r="N364" s="8" t="inlineStr">
        <is>
          <t>对手 3-Bet 倾向=a/b</t>
        </is>
      </c>
      <c r="O364" s="8" t="inlineStr">
        <is>
          <t>opponent_stats.opponent_3bet_rate</t>
        </is>
      </c>
      <c r="P364" s="10" t="inlineStr">
        <is>
          <t>未执行</t>
        </is>
      </c>
      <c r="Q364" s="10" t="inlineStr"/>
      <c r="R364" s="11" t="inlineStr"/>
    </row>
    <row r="365" ht="72" customHeight="1">
      <c r="A365" s="5" t="inlineStr">
        <is>
          <t>TC-RPT-361</t>
        </is>
      </c>
      <c r="B365" s="5" t="inlineStr">
        <is>
          <t>opponent_3bet_rate</t>
        </is>
      </c>
      <c r="C365" s="5" t="inlineStr">
        <is>
          <t>对手 3-Bet 倾向</t>
        </is>
      </c>
      <c r="D365" s="14" t="inlineStr">
        <is>
          <t>P2</t>
        </is>
      </c>
      <c r="E365" s="7" t="inlineStr">
        <is>
          <t>等价类划分法</t>
        </is>
      </c>
      <c r="F365" s="7" t="inlineStr">
        <is>
          <t>对手数据</t>
        </is>
      </c>
      <c r="G365" s="7" t="inlineStr">
        <is>
          <t>内部</t>
        </is>
      </c>
      <c r="H365" s="8" t="inlineStr">
        <is>
          <t>对手翻前反加频率</t>
        </is>
      </c>
      <c r="I365" s="8" t="inlineStr">
        <is>
          <t>对手 3-Bet 次数 / 面对 open raise 次数</t>
        </is>
      </c>
      <c r="J365" s="8" t="inlineStr">
        <is>
          <t>对手 3-Bet 倾向反例-对手自己率先加注</t>
        </is>
      </c>
      <c r="K365" s="12" t="inlineStr">
        <is>
          <t>反例</t>
        </is>
      </c>
      <c r="L365" s="8" t="inlineStr">
        <is>
          <t>1、已登录，当前用户是 Hero。准备下列不该计入的素材。
2、对手自己率先加注，「对手 3-Bet 倾向」仍=a/b</t>
        </is>
      </c>
      <c r="M365" s="8" t="inlineStr">
        <is>
          <t>1、上传素材，生成复盘报告，等到能打开。
2、打开「对手 3-Bet 倾向」，检查是否为a/b。</t>
        </is>
      </c>
      <c r="N365" s="8" t="inlineStr">
        <is>
          <t>对手 3-Bet 倾向=a/b</t>
        </is>
      </c>
      <c r="O365" s="8" t="inlineStr">
        <is>
          <t>opponent_stats.opponent_3bet_rate</t>
        </is>
      </c>
      <c r="P365" s="10" t="inlineStr">
        <is>
          <t>未执行</t>
        </is>
      </c>
      <c r="Q365" s="10" t="inlineStr"/>
      <c r="R365" s="11" t="inlineStr"/>
    </row>
    <row r="366" ht="72" customHeight="1">
      <c r="A366" s="5" t="inlineStr">
        <is>
          <t>TC-RPT-362</t>
        </is>
      </c>
      <c r="B366" s="5" t="inlineStr">
        <is>
          <t>opponent_3bet_rate</t>
        </is>
      </c>
      <c r="C366" s="5" t="inlineStr">
        <is>
          <t>对手 3-Bet 倾向</t>
        </is>
      </c>
      <c r="D366" s="14" t="inlineStr">
        <is>
          <t>P2</t>
        </is>
      </c>
      <c r="E366" s="7" t="inlineStr">
        <is>
          <t>因果图法</t>
        </is>
      </c>
      <c r="F366" s="7" t="inlineStr">
        <is>
          <t>对手数据</t>
        </is>
      </c>
      <c r="G366" s="7" t="inlineStr">
        <is>
          <t>内部</t>
        </is>
      </c>
      <c r="H366" s="8" t="inlineStr">
        <is>
          <t>对手翻前反加频率</t>
        </is>
      </c>
      <c r="I366" s="8" t="inlineStr">
        <is>
          <t>对手 3-Bet 次数 / 面对 open raise 次数</t>
        </is>
      </c>
      <c r="J366" s="8" t="inlineStr">
        <is>
          <t>对手 3-Bet 倾向正例-对手面对加注跟或弃</t>
        </is>
      </c>
      <c r="K366" s="9" t="inlineStr">
        <is>
          <t>正例</t>
        </is>
      </c>
      <c r="L366" s="8" t="inlineStr">
        <is>
          <t>1、已登录，当前用户是 Hero。
2、对手面对加注选择弃或跟。这次分母加1，分子不加
3、手算分子=a、分母=b，「对手 3-Bet 倾向」应为=a/b</t>
        </is>
      </c>
      <c r="M366" s="8" t="inlineStr">
        <is>
          <t>1、上传素材，生成复盘报告，等到能打开。
2、打开「对手 3-Bet 倾向」，检查是否为a/b。</t>
        </is>
      </c>
      <c r="N366" s="8" t="inlineStr">
        <is>
          <t>对手 3-Bet 倾向=a/b</t>
        </is>
      </c>
      <c r="O366" s="8" t="inlineStr">
        <is>
          <t>opponent_stats.opponent_3bet_rate</t>
        </is>
      </c>
      <c r="P366" s="10" t="inlineStr">
        <is>
          <t>未执行</t>
        </is>
      </c>
      <c r="Q366" s="10" t="inlineStr"/>
      <c r="R366" s="11" t="inlineStr"/>
    </row>
    <row r="367" ht="72" customHeight="1">
      <c r="A367" s="5" t="inlineStr">
        <is>
          <t>TC-RPT-363</t>
        </is>
      </c>
      <c r="B367" s="5" t="inlineStr">
        <is>
          <t>opponent_3bet_rate</t>
        </is>
      </c>
      <c r="C367" s="5" t="inlineStr">
        <is>
          <t>对手 3-Bet 倾向</t>
        </is>
      </c>
      <c r="D367" s="14" t="inlineStr">
        <is>
          <t>P2</t>
        </is>
      </c>
      <c r="E367" s="7" t="inlineStr">
        <is>
          <t>边界值分析法</t>
        </is>
      </c>
      <c r="F367" s="7" t="inlineStr">
        <is>
          <t>对手数据</t>
        </is>
      </c>
      <c r="G367" s="7" t="inlineStr">
        <is>
          <t>内部</t>
        </is>
      </c>
      <c r="H367" s="8" t="inlineStr">
        <is>
          <t>对手翻前反加频率</t>
        </is>
      </c>
      <c r="I367" s="8" t="inlineStr">
        <is>
          <t>对手 3-Bet 次数 / 面对 open raise 次数</t>
        </is>
      </c>
      <c r="J367" s="8" t="inlineStr">
        <is>
          <t>对手 3-Bet 倾向反例-分母为0字段不出现</t>
        </is>
      </c>
      <c r="K367" s="12" t="inlineStr">
        <is>
          <t>反例</t>
        </is>
      </c>
      <c r="L367" s="8" t="inlineStr">
        <is>
          <t>1、已登录，当前用户是 Hero。
2、对手从未面对 open。「对手 3-Bet 倾向」应为空或不出现，不能写成 0% 或 100%。</t>
        </is>
      </c>
      <c r="M367" s="8" t="inlineStr">
        <is>
          <t>1、上传素材，生成复盘报告，等到能打开。
2、打开「对手 3-Bet 倾向」，检查是否为空或不出现。</t>
        </is>
      </c>
      <c r="N367" s="8" t="inlineStr">
        <is>
          <t>对手 3-Bet 倾向为空或不出现</t>
        </is>
      </c>
      <c r="O367" s="8" t="inlineStr">
        <is>
          <t>opponent_stats.opponent_3bet_rate</t>
        </is>
      </c>
      <c r="P367" s="10" t="inlineStr">
        <is>
          <t>未执行</t>
        </is>
      </c>
      <c r="Q367" s="10" t="inlineStr"/>
      <c r="R367" s="11" t="inlineStr"/>
    </row>
    <row r="368" ht="72" customHeight="1">
      <c r="A368" s="5" t="inlineStr">
        <is>
          <t>TC-RPT-364</t>
        </is>
      </c>
      <c r="B368" s="5" t="inlineStr">
        <is>
          <t>opponent_3bet_rate</t>
        </is>
      </c>
      <c r="C368" s="5" t="inlineStr">
        <is>
          <t>对手 3-Bet 倾向</t>
        </is>
      </c>
      <c r="D368" s="14" t="inlineStr">
        <is>
          <t>P2</t>
        </is>
      </c>
      <c r="E368" s="7" t="inlineStr">
        <is>
          <t>边界值分析法</t>
        </is>
      </c>
      <c r="F368" s="7" t="inlineStr">
        <is>
          <t>对手数据</t>
        </is>
      </c>
      <c r="G368" s="7" t="inlineStr">
        <is>
          <t>内部</t>
        </is>
      </c>
      <c r="H368" s="8" t="inlineStr">
        <is>
          <t>对手翻前反加频率</t>
        </is>
      </c>
      <c r="I368" s="8" t="inlineStr">
        <is>
          <t>对手 3-Bet 次数 / 面对 open raise 次数</t>
        </is>
      </c>
      <c r="J368" s="8" t="inlineStr">
        <is>
          <t>对手 3-Bet 倾向正例-单位与换算正确</t>
        </is>
      </c>
      <c r="K368" s="9" t="inlineStr">
        <is>
          <t>正例</t>
        </is>
      </c>
      <c r="L368" s="8" t="inlineStr">
        <is>
          <t>1、已登录，当前用户是 Hero。
2、各手筹码和大盲已记下，按该手换算后「对手 3-Bet 倾向」=n</t>
        </is>
      </c>
      <c r="M368" s="8" t="inlineStr">
        <is>
          <t>1、上传素材，生成复盘报告，等到能打开。
2、打开「对手 3-Bet 倾向」，检查是否为n。</t>
        </is>
      </c>
      <c r="N368" s="8" t="inlineStr">
        <is>
          <t>对手 3-Bet 倾向=n</t>
        </is>
      </c>
      <c r="O368" s="8" t="inlineStr">
        <is>
          <t>opponent_stats.opponent_3bet_rate</t>
        </is>
      </c>
      <c r="P368" s="10" t="inlineStr">
        <is>
          <t>未执行</t>
        </is>
      </c>
      <c r="Q368" s="10" t="inlineStr"/>
      <c r="R368" s="11" t="inlineStr"/>
    </row>
    <row r="369" ht="72" customHeight="1">
      <c r="A369" s="5" t="inlineStr">
        <is>
          <t>TC-RPT-365</t>
        </is>
      </c>
      <c r="B369" s="5" t="inlineStr">
        <is>
          <t>opponent_cbet_rate</t>
        </is>
      </c>
      <c r="C369" s="5" t="inlineStr">
        <is>
          <t>对手持续下注倾向</t>
        </is>
      </c>
      <c r="D369" s="14" t="inlineStr">
        <is>
          <t>P2</t>
        </is>
      </c>
      <c r="E369" s="7" t="inlineStr">
        <is>
          <t>等价类划分法</t>
        </is>
      </c>
      <c r="F369" s="7" t="inlineStr">
        <is>
          <t>对手数据</t>
        </is>
      </c>
      <c r="G369" s="7" t="inlineStr">
        <is>
          <t>内部</t>
        </is>
      </c>
      <c r="H369" s="8" t="inlineStr">
        <is>
          <t>对手作为翻前主动者翻牌下注频率</t>
        </is>
      </c>
      <c r="I369" s="8" t="inlineStr">
        <is>
          <t>对手翻牌 c-bet 次数 / 可 c-bet 次数</t>
        </is>
      </c>
      <c r="J369" s="8" t="inlineStr">
        <is>
          <t>对手持续下注倾向正例-对手翻前加注后进翻牌下注除以可持续下注次数</t>
        </is>
      </c>
      <c r="K369" s="9" t="inlineStr">
        <is>
          <t>正例</t>
        </is>
      </c>
      <c r="L369" s="8" t="inlineStr">
        <is>
          <t>1、已登录，当前用户是 Hero。只用正例场。
2、素材里分子次数=a，分母次数=b，「对手持续下注倾向」应对=a/b</t>
        </is>
      </c>
      <c r="M369" s="8" t="inlineStr">
        <is>
          <t>1、上传素材，生成复盘报告，等到能打开。
2、打开「对手持续下注倾向」，检查是否为a/b。</t>
        </is>
      </c>
      <c r="N369" s="8" t="inlineStr">
        <is>
          <t>对手持续下注倾向=a/b</t>
        </is>
      </c>
      <c r="O369" s="8" t="inlineStr">
        <is>
          <t>opponent_stats.opponent_cbet_rate</t>
        </is>
      </c>
      <c r="P369" s="10" t="inlineStr">
        <is>
          <t>未执行</t>
        </is>
      </c>
      <c r="Q369" s="10" t="inlineStr"/>
      <c r="R369" s="11" t="inlineStr"/>
    </row>
    <row r="370" ht="72" customHeight="1">
      <c r="A370" s="5" t="inlineStr">
        <is>
          <t>TC-RPT-366</t>
        </is>
      </c>
      <c r="B370" s="5" t="inlineStr">
        <is>
          <t>opponent_cbet_rate</t>
        </is>
      </c>
      <c r="C370" s="5" t="inlineStr">
        <is>
          <t>对手持续下注倾向</t>
        </is>
      </c>
      <c r="D370" s="14" t="inlineStr">
        <is>
          <t>P2</t>
        </is>
      </c>
      <c r="E370" s="7" t="inlineStr">
        <is>
          <t>等价类划分法</t>
        </is>
      </c>
      <c r="F370" s="7" t="inlineStr">
        <is>
          <t>对手数据</t>
        </is>
      </c>
      <c r="G370" s="7" t="inlineStr">
        <is>
          <t>内部</t>
        </is>
      </c>
      <c r="H370" s="8" t="inlineStr">
        <is>
          <t>对手作为翻前主动者翻牌下注频率</t>
        </is>
      </c>
      <c r="I370" s="8" t="inlineStr">
        <is>
          <t>对手翻牌 c-bet 次数 / 可 c-bet 次数</t>
        </is>
      </c>
      <c r="J370" s="8" t="inlineStr">
        <is>
          <t>对手持续下注倾向反例-对手翻前只跟翻牌自己下注</t>
        </is>
      </c>
      <c r="K370" s="12" t="inlineStr">
        <is>
          <t>反例</t>
        </is>
      </c>
      <c r="L370" s="8" t="inlineStr">
        <is>
          <t>1、已登录，当前用户是 Hero。准备下列不该计入的素材。
2、对手翻前只跟，翻牌自己下注。不是翻前加注后进翻牌下注，「对手持续下注倾向」仍=a/b</t>
        </is>
      </c>
      <c r="M370" s="8" t="inlineStr">
        <is>
          <t>1、上传素材，生成复盘报告，等到能打开。
2、打开「对手持续下注倾向」，检查是否为a/b。</t>
        </is>
      </c>
      <c r="N370" s="8" t="inlineStr">
        <is>
          <t>对手持续下注倾向=a/b</t>
        </is>
      </c>
      <c r="O370" s="8" t="inlineStr">
        <is>
          <t>opponent_stats.opponent_cbet_rate</t>
        </is>
      </c>
      <c r="P370" s="10" t="inlineStr">
        <is>
          <t>未执行</t>
        </is>
      </c>
      <c r="Q370" s="10" t="inlineStr"/>
      <c r="R370" s="11" t="inlineStr"/>
    </row>
    <row r="371" ht="72" customHeight="1">
      <c r="A371" s="5" t="inlineStr">
        <is>
          <t>TC-RPT-367</t>
        </is>
      </c>
      <c r="B371" s="5" t="inlineStr">
        <is>
          <t>opponent_cbet_rate</t>
        </is>
      </c>
      <c r="C371" s="5" t="inlineStr">
        <is>
          <t>对手持续下注倾向</t>
        </is>
      </c>
      <c r="D371" s="14" t="inlineStr">
        <is>
          <t>P2</t>
        </is>
      </c>
      <c r="E371" s="7" t="inlineStr">
        <is>
          <t>因果图法</t>
        </is>
      </c>
      <c r="F371" s="7" t="inlineStr">
        <is>
          <t>对手数据</t>
        </is>
      </c>
      <c r="G371" s="7" t="inlineStr">
        <is>
          <t>内部</t>
        </is>
      </c>
      <c r="H371" s="8" t="inlineStr">
        <is>
          <t>对手作为翻前主动者翻牌下注频率</t>
        </is>
      </c>
      <c r="I371" s="8" t="inlineStr">
        <is>
          <t>对手翻牌 c-bet 次数 / 可 c-bet 次数</t>
        </is>
      </c>
      <c r="J371" s="8" t="inlineStr">
        <is>
          <t>对手持续下注倾向正例-对手翻前加注后进翻牌过牌</t>
        </is>
      </c>
      <c r="K371" s="9" t="inlineStr">
        <is>
          <t>正例</t>
        </is>
      </c>
      <c r="L371" s="8" t="inlineStr">
        <is>
          <t>1、已登录，当前用户是 Hero。
2、对手翻前加注后进翻牌，翻牌过牌。这次分母加1，分子不加
3、手算分子=a、分母=b，「对手持续下注倾向」应为=a/b</t>
        </is>
      </c>
      <c r="M371" s="8" t="inlineStr">
        <is>
          <t>1、上传素材，生成复盘报告，等到能打开。
2、打开「对手持续下注倾向」，检查是否为a/b。</t>
        </is>
      </c>
      <c r="N371" s="8" t="inlineStr">
        <is>
          <t>对手持续下注倾向=a/b</t>
        </is>
      </c>
      <c r="O371" s="8" t="inlineStr">
        <is>
          <t>opponent_stats.opponent_cbet_rate</t>
        </is>
      </c>
      <c r="P371" s="10" t="inlineStr">
        <is>
          <t>未执行</t>
        </is>
      </c>
      <c r="Q371" s="10" t="inlineStr"/>
      <c r="R371" s="11" t="inlineStr"/>
    </row>
    <row r="372" ht="72" customHeight="1">
      <c r="A372" s="5" t="inlineStr">
        <is>
          <t>TC-RPT-368</t>
        </is>
      </c>
      <c r="B372" s="5" t="inlineStr">
        <is>
          <t>opponent_cbet_rate</t>
        </is>
      </c>
      <c r="C372" s="5" t="inlineStr">
        <is>
          <t>对手持续下注倾向</t>
        </is>
      </c>
      <c r="D372" s="14" t="inlineStr">
        <is>
          <t>P2</t>
        </is>
      </c>
      <c r="E372" s="7" t="inlineStr">
        <is>
          <t>边界值分析法</t>
        </is>
      </c>
      <c r="F372" s="7" t="inlineStr">
        <is>
          <t>对手数据</t>
        </is>
      </c>
      <c r="G372" s="7" t="inlineStr">
        <is>
          <t>内部</t>
        </is>
      </c>
      <c r="H372" s="8" t="inlineStr">
        <is>
          <t>对手作为翻前主动者翻牌下注频率</t>
        </is>
      </c>
      <c r="I372" s="8" t="inlineStr">
        <is>
          <t>对手翻牌 c-bet 次数 / 可 c-bet 次数</t>
        </is>
      </c>
      <c r="J372" s="8" t="inlineStr">
        <is>
          <t>对手持续下注倾向反例-分母为0字段不出现</t>
        </is>
      </c>
      <c r="K372" s="12" t="inlineStr">
        <is>
          <t>反例</t>
        </is>
      </c>
      <c r="L372" s="8" t="inlineStr">
        <is>
          <t>1、已登录，当前用户是 Hero。
2、对手从未可 c-bet。「对手持续下注倾向」应为空或不出现，不能写成 0% 或 100%。</t>
        </is>
      </c>
      <c r="M372" s="8" t="inlineStr">
        <is>
          <t>1、上传素材，生成复盘报告，等到能打开。
2、打开「对手持续下注倾向」，检查是否为空或不出现。</t>
        </is>
      </c>
      <c r="N372" s="8" t="inlineStr">
        <is>
          <t>对手持续下注倾向为空或不出现</t>
        </is>
      </c>
      <c r="O372" s="8" t="inlineStr">
        <is>
          <t>opponent_stats.opponent_cbet_rate</t>
        </is>
      </c>
      <c r="P372" s="10" t="inlineStr">
        <is>
          <t>未执行</t>
        </is>
      </c>
      <c r="Q372" s="10" t="inlineStr"/>
      <c r="R372" s="11" t="inlineStr"/>
    </row>
    <row r="373" ht="72" customHeight="1">
      <c r="A373" s="5" t="inlineStr">
        <is>
          <t>TC-RPT-369</t>
        </is>
      </c>
      <c r="B373" s="5" t="inlineStr">
        <is>
          <t>opponent_cbet_rate</t>
        </is>
      </c>
      <c r="C373" s="5" t="inlineStr">
        <is>
          <t>对手持续下注倾向</t>
        </is>
      </c>
      <c r="D373" s="14" t="inlineStr">
        <is>
          <t>P2</t>
        </is>
      </c>
      <c r="E373" s="7" t="inlineStr">
        <is>
          <t>边界值分析法</t>
        </is>
      </c>
      <c r="F373" s="7" t="inlineStr">
        <is>
          <t>对手数据</t>
        </is>
      </c>
      <c r="G373" s="7" t="inlineStr">
        <is>
          <t>内部</t>
        </is>
      </c>
      <c r="H373" s="8" t="inlineStr">
        <is>
          <t>对手作为翻前主动者翻牌下注频率</t>
        </is>
      </c>
      <c r="I373" s="8" t="inlineStr">
        <is>
          <t>对手翻牌 c-bet 次数 / 可 c-bet 次数</t>
        </is>
      </c>
      <c r="J373" s="8" t="inlineStr">
        <is>
          <t>对手持续下注倾向正例-单位与换算正确</t>
        </is>
      </c>
      <c r="K373" s="9" t="inlineStr">
        <is>
          <t>正例</t>
        </is>
      </c>
      <c r="L373" s="8" t="inlineStr">
        <is>
          <t>1、已登录，当前用户是 Hero。
2、各手筹码和大盲已记下，按该手换算后「对手持续下注倾向」=n</t>
        </is>
      </c>
      <c r="M373" s="8" t="inlineStr">
        <is>
          <t>1、上传素材，生成复盘报告，等到能打开。
2、打开「对手持续下注倾向」，检查是否为n。</t>
        </is>
      </c>
      <c r="N373" s="8" t="inlineStr">
        <is>
          <t>对手持续下注倾向=n</t>
        </is>
      </c>
      <c r="O373" s="8" t="inlineStr">
        <is>
          <t>opponent_stats.opponent_cbet_rate</t>
        </is>
      </c>
      <c r="P373" s="10" t="inlineStr">
        <is>
          <t>未执行</t>
        </is>
      </c>
      <c r="Q373" s="10" t="inlineStr"/>
      <c r="R373" s="11" t="inlineStr"/>
    </row>
    <row r="374" ht="72" customHeight="1">
      <c r="A374" s="5" t="inlineStr">
        <is>
          <t>TC-RPT-370</t>
        </is>
      </c>
      <c r="B374" s="5" t="inlineStr">
        <is>
          <t>hero_response_vs_opponent</t>
        </is>
      </c>
      <c r="C374" s="5" t="inlineStr">
        <is>
          <t>Hero 对该对手应对方式</t>
        </is>
      </c>
      <c r="D374" s="13" t="inlineStr">
        <is>
          <t>P1</t>
        </is>
      </c>
      <c r="E374" s="7" t="inlineStr">
        <is>
          <t>等价类划分法</t>
        </is>
      </c>
      <c r="F374" s="7" t="inlineStr">
        <is>
          <t>对手数据</t>
        </is>
      </c>
      <c r="G374" s="7" t="inlineStr">
        <is>
          <t>内部</t>
        </is>
      </c>
      <c r="H374" s="8" t="inlineStr">
        <is>
          <t>Hero 面对该对手的fold/check/call/raise/all_in 分布</t>
        </is>
      </c>
      <c r="I374" s="8" t="inlineStr">
        <is>
          <t>统计 Hero 对该对手各类应对动作次数和占比</t>
        </is>
      </c>
      <c r="J374" s="8" t="inlineStr">
        <is>
          <t>Hero 对该对手应对方式正例-对对手各动作次数与占比</t>
        </is>
      </c>
      <c r="K374" s="9" t="inlineStr">
        <is>
          <t>正例</t>
        </is>
      </c>
      <c r="L374" s="8" t="inlineStr">
        <is>
          <t>1、已登录，当前用户是 Hero。只用正例场。
2、素材里按口径手算「Hero 对该对手应对方式」=n</t>
        </is>
      </c>
      <c r="M374" s="8" t="inlineStr">
        <is>
          <t>1、上传素材，生成复盘报告，等到能打开。
2、打开「Hero 对该对手应对方式」，检查是否为n。</t>
        </is>
      </c>
      <c r="N374" s="8" t="inlineStr">
        <is>
          <t>Hero 对该对手应对方式=n</t>
        </is>
      </c>
      <c r="O374" s="8" t="inlineStr">
        <is>
          <t>opponent_stats.hero_response_vs_opponent</t>
        </is>
      </c>
      <c r="P374" s="10" t="inlineStr">
        <is>
          <t>未执行</t>
        </is>
      </c>
      <c r="Q374" s="10" t="inlineStr"/>
      <c r="R374" s="11" t="inlineStr"/>
    </row>
    <row r="375" ht="72" customHeight="1">
      <c r="A375" s="5" t="inlineStr">
        <is>
          <t>TC-RPT-371</t>
        </is>
      </c>
      <c r="B375" s="5" t="inlineStr">
        <is>
          <t>hero_response_vs_opponent</t>
        </is>
      </c>
      <c r="C375" s="5" t="inlineStr">
        <is>
          <t>Hero 对该对手应对方式</t>
        </is>
      </c>
      <c r="D375" s="13" t="inlineStr">
        <is>
          <t>P1</t>
        </is>
      </c>
      <c r="E375" s="7" t="inlineStr">
        <is>
          <t>等价类划分法</t>
        </is>
      </c>
      <c r="F375" s="7" t="inlineStr">
        <is>
          <t>对手数据</t>
        </is>
      </c>
      <c r="G375" s="7" t="inlineStr">
        <is>
          <t>内部</t>
        </is>
      </c>
      <c r="H375" s="8" t="inlineStr">
        <is>
          <t>Hero 面对该对手的fold/check/call/raise/all_in 分布</t>
        </is>
      </c>
      <c r="I375" s="8" t="inlineStr">
        <is>
          <t>统计 Hero 对该对手各类应对动作次数和占比</t>
        </is>
      </c>
      <c r="J375" s="8" t="inlineStr">
        <is>
          <t>Hero 对该对手应对方式反例-多对手动作混一人</t>
        </is>
      </c>
      <c r="K375" s="12" t="inlineStr">
        <is>
          <t>反例</t>
        </is>
      </c>
      <c r="L375" s="8" t="inlineStr">
        <is>
          <t>1、已登录，当前用户是 Hero。准备下列不该计入的素材。
2、多对手动作混一人，「Hero 对该对手应对方式」仍=n</t>
        </is>
      </c>
      <c r="M375" s="8" t="inlineStr">
        <is>
          <t>1、上传素材，生成复盘报告，等到能打开。
2、打开「Hero 对该对手应对方式」，检查是否为n。</t>
        </is>
      </c>
      <c r="N375" s="8" t="inlineStr">
        <is>
          <t>Hero 对该对手应对方式=n</t>
        </is>
      </c>
      <c r="O375" s="8" t="inlineStr">
        <is>
          <t>opponent_stats.hero_response_vs_opponent</t>
        </is>
      </c>
      <c r="P375" s="10" t="inlineStr">
        <is>
          <t>未执行</t>
        </is>
      </c>
      <c r="Q375" s="10" t="inlineStr"/>
      <c r="R375" s="11" t="inlineStr"/>
    </row>
    <row r="376" ht="72" customHeight="1">
      <c r="A376" s="5" t="inlineStr">
        <is>
          <t>TC-RPT-372</t>
        </is>
      </c>
      <c r="B376" s="5" t="inlineStr">
        <is>
          <t>hero_response_vs_opponent</t>
        </is>
      </c>
      <c r="C376" s="5" t="inlineStr">
        <is>
          <t>Hero 对该对手应对方式</t>
        </is>
      </c>
      <c r="D376" s="13" t="inlineStr">
        <is>
          <t>P1</t>
        </is>
      </c>
      <c r="E376" s="7" t="inlineStr">
        <is>
          <t>错误推断法</t>
        </is>
      </c>
      <c r="F376" s="7" t="inlineStr">
        <is>
          <t>对手数据</t>
        </is>
      </c>
      <c r="G376" s="7" t="inlineStr">
        <is>
          <t>内部</t>
        </is>
      </c>
      <c r="H376" s="8" t="inlineStr">
        <is>
          <t>Hero 面对该对手的fold/check/call/raise/all_in 分布</t>
        </is>
      </c>
      <c r="I376" s="8" t="inlineStr">
        <is>
          <t>统计 Hero 对该对手各类应对动作次数和占比</t>
        </is>
      </c>
      <c r="J376" s="8" t="inlineStr">
        <is>
          <t>Hero 对该对手应对方式反例-源数据缺失不得编造</t>
        </is>
      </c>
      <c r="K376" s="12" t="inlineStr">
        <is>
          <t>反例</t>
        </is>
      </c>
      <c r="L376" s="8" t="inlineStr">
        <is>
          <t>1、已登录。本条只跑缺失场。
2、本场缺少「Hero 对该对手应对方式」源数据。缺该字段的源数据。</t>
        </is>
      </c>
      <c r="M376" s="8" t="inlineStr">
        <is>
          <t>1、上传素材，生成复盘报告，等到能打开。
2、打开「Hero 对该对手应对方式」，检查是否为空或不出现。</t>
        </is>
      </c>
      <c r="N376" s="8" t="inlineStr">
        <is>
          <t>Hero 对该对手应对方式为空或不出现</t>
        </is>
      </c>
      <c r="O376" s="8" t="inlineStr">
        <is>
          <t>opponent_stats.hero_response_vs_opponent</t>
        </is>
      </c>
      <c r="P376" s="10" t="inlineStr">
        <is>
          <t>未执行</t>
        </is>
      </c>
      <c r="Q376" s="10" t="inlineStr"/>
      <c r="R376" s="11" t="inlineStr"/>
    </row>
    <row r="377" ht="72" customHeight="1">
      <c r="A377" s="5" t="inlineStr">
        <is>
          <t>TC-RPT-373</t>
        </is>
      </c>
      <c r="B377" s="5" t="inlineStr">
        <is>
          <t>hand_index</t>
        </is>
      </c>
      <c r="C377" s="5" t="inlineStr">
        <is>
          <t>第几手牌</t>
        </is>
      </c>
      <c r="D377" s="6" t="inlineStr">
        <is>
          <t>P0</t>
        </is>
      </c>
      <c r="E377" s="7" t="inlineStr">
        <is>
          <t>等价类划分法</t>
        </is>
      </c>
      <c r="F377" s="7" t="inlineStr">
        <is>
          <t>单手牌</t>
        </is>
      </c>
      <c r="G377" s="7" t="inlineStr">
        <is>
          <t>是</t>
        </is>
      </c>
      <c r="H377" s="8" t="inlineStr">
        <is>
          <t>本场手牌顺序编号</t>
        </is>
      </c>
      <c r="I377" s="8" t="inlineStr">
        <is>
          <t>按视频时间顺序排序生成</t>
        </is>
      </c>
      <c r="J377" s="8" t="inlineStr">
        <is>
          <t>第几手牌正例-按时间先后连续编号</t>
        </is>
      </c>
      <c r="K377" s="9" t="inlineStr">
        <is>
          <t>正例</t>
        </is>
      </c>
      <c r="L377" s="8" t="inlineStr">
        <is>
          <t>1、已登录，当前用户是 Hero。只用正例场。
2、素材里「第几手牌」应对的值=n</t>
        </is>
      </c>
      <c r="M377" s="8" t="inlineStr">
        <is>
          <t>1、上传素材，生成复盘报告，等到能打开。
2、打开「第几手牌」，检查是否为n。</t>
        </is>
      </c>
      <c r="N377" s="8" t="inlineStr">
        <is>
          <t>第几手牌=n</t>
        </is>
      </c>
      <c r="O377" s="8" t="inlineStr">
        <is>
          <t>hands[].hand_index</t>
        </is>
      </c>
      <c r="P377" s="10" t="inlineStr">
        <is>
          <t>未执行</t>
        </is>
      </c>
      <c r="Q377" s="10" t="inlineStr"/>
      <c r="R377" s="11" t="inlineStr"/>
    </row>
    <row r="378" ht="72" customHeight="1">
      <c r="A378" s="5" t="inlineStr">
        <is>
          <t>TC-RPT-374</t>
        </is>
      </c>
      <c r="B378" s="5" t="inlineStr">
        <is>
          <t>hand_index</t>
        </is>
      </c>
      <c r="C378" s="5" t="inlineStr">
        <is>
          <t>第几手牌</t>
        </is>
      </c>
      <c r="D378" s="6" t="inlineStr">
        <is>
          <t>P0</t>
        </is>
      </c>
      <c r="E378" s="7" t="inlineStr">
        <is>
          <t>等价类划分法</t>
        </is>
      </c>
      <c r="F378" s="7" t="inlineStr">
        <is>
          <t>单手牌</t>
        </is>
      </c>
      <c r="G378" s="7" t="inlineStr">
        <is>
          <t>是</t>
        </is>
      </c>
      <c r="H378" s="8" t="inlineStr">
        <is>
          <t>本场手牌顺序编号</t>
        </is>
      </c>
      <c r="I378" s="8" t="inlineStr">
        <is>
          <t>按视频时间顺序排序生成</t>
        </is>
      </c>
      <c r="J378" s="8" t="inlineStr">
        <is>
          <t>第几手牌反例-后打的手排前面</t>
        </is>
      </c>
      <c r="K378" s="12" t="inlineStr">
        <is>
          <t>反例</t>
        </is>
      </c>
      <c r="L378" s="8" t="inlineStr">
        <is>
          <t>1、已登录，当前用户是 Hero。准备下列不该计入的素材。
2、后打的手排前面，「第几手牌」仍=n</t>
        </is>
      </c>
      <c r="M378" s="8" t="inlineStr">
        <is>
          <t>1、上传素材，生成复盘报告，等到能打开。
2、打开「第几手牌」，检查是否为n。</t>
        </is>
      </c>
      <c r="N378" s="8" t="inlineStr">
        <is>
          <t>第几手牌=n</t>
        </is>
      </c>
      <c r="O378" s="8" t="inlineStr">
        <is>
          <t>hands[].hand_index</t>
        </is>
      </c>
      <c r="P378" s="10" t="inlineStr">
        <is>
          <t>未执行</t>
        </is>
      </c>
      <c r="Q378" s="10" t="inlineStr"/>
      <c r="R378" s="11" t="inlineStr"/>
    </row>
    <row r="379" ht="72" customHeight="1">
      <c r="A379" s="5" t="inlineStr">
        <is>
          <t>TC-RPT-375</t>
        </is>
      </c>
      <c r="B379" s="5" t="inlineStr">
        <is>
          <t>video_timestamp</t>
        </is>
      </c>
      <c r="C379" s="5" t="inlineStr">
        <is>
          <t>视频时间点</t>
        </is>
      </c>
      <c r="D379" s="6" t="inlineStr">
        <is>
          <t>P0</t>
        </is>
      </c>
      <c r="E379" s="7" t="inlineStr">
        <is>
          <t>等价类划分法</t>
        </is>
      </c>
      <c r="F379" s="7" t="inlineStr">
        <is>
          <t>单手牌</t>
        </is>
      </c>
      <c r="G379" s="7" t="inlineStr">
        <is>
          <t>是</t>
        </is>
      </c>
      <c r="H379" s="8" t="inlineStr">
        <is>
          <t>该手牌在视频中的时间位置</t>
        </is>
      </c>
      <c r="I379" s="8" t="inlineStr">
        <is>
          <t>由视频解析得到；缺失时报告用第几手牌替代</t>
        </is>
      </c>
      <c r="J379" s="8" t="inlineStr">
        <is>
          <t>视频时间点正例-每手在视频中的起始时间</t>
        </is>
      </c>
      <c r="K379" s="9" t="inlineStr">
        <is>
          <t>正例</t>
        </is>
      </c>
      <c r="L379" s="8" t="inlineStr">
        <is>
          <t>1、已登录，当前用户是 Hero。只用正例场。
2、素材里「视频时间点」应对的值=n</t>
        </is>
      </c>
      <c r="M379" s="8" t="inlineStr">
        <is>
          <t>1、上传素材，生成复盘报告，等到能打开。
2、打开「视频时间点」，检查是否为n。</t>
        </is>
      </c>
      <c r="N379" s="8" t="inlineStr">
        <is>
          <t>视频时间点=n</t>
        </is>
      </c>
      <c r="O379" s="8" t="inlineStr">
        <is>
          <t>hands[].video_timestamp</t>
        </is>
      </c>
      <c r="P379" s="10" t="inlineStr">
        <is>
          <t>未执行</t>
        </is>
      </c>
      <c r="Q379" s="10" t="inlineStr"/>
      <c r="R379" s="11" t="inlineStr"/>
    </row>
    <row r="380" ht="72" customHeight="1">
      <c r="A380" s="5" t="inlineStr">
        <is>
          <t>TC-RPT-376</t>
        </is>
      </c>
      <c r="B380" s="5" t="inlineStr">
        <is>
          <t>video_timestamp</t>
        </is>
      </c>
      <c r="C380" s="5" t="inlineStr">
        <is>
          <t>视频时间点</t>
        </is>
      </c>
      <c r="D380" s="6" t="inlineStr">
        <is>
          <t>P0</t>
        </is>
      </c>
      <c r="E380" s="7" t="inlineStr">
        <is>
          <t>等价类划分法</t>
        </is>
      </c>
      <c r="F380" s="7" t="inlineStr">
        <is>
          <t>单手牌</t>
        </is>
      </c>
      <c r="G380" s="7" t="inlineStr">
        <is>
          <t>是</t>
        </is>
      </c>
      <c r="H380" s="8" t="inlineStr">
        <is>
          <t>该手牌在视频中的时间位置</t>
        </is>
      </c>
      <c r="I380" s="8" t="inlineStr">
        <is>
          <t>由视频解析得到；缺失时报告用第几手牌替代</t>
        </is>
      </c>
      <c r="J380" s="8" t="inlineStr">
        <is>
          <t>视频时间点反例-用第几手冒充时间</t>
        </is>
      </c>
      <c r="K380" s="12" t="inlineStr">
        <is>
          <t>反例</t>
        </is>
      </c>
      <c r="L380" s="8" t="inlineStr">
        <is>
          <t>1、已登录，当前用户是 Hero。准备下列不该计入的素材。
2、用第几手冒充时间，「视频时间点」仍=n</t>
        </is>
      </c>
      <c r="M380" s="8" t="inlineStr">
        <is>
          <t>1、上传素材，生成复盘报告，等到能打开。
2、打开「视频时间点」，检查是否为n。</t>
        </is>
      </c>
      <c r="N380" s="8" t="inlineStr">
        <is>
          <t>视频时间点=n</t>
        </is>
      </c>
      <c r="O380" s="8" t="inlineStr">
        <is>
          <t>hands[].video_timestamp</t>
        </is>
      </c>
      <c r="P380" s="10" t="inlineStr">
        <is>
          <t>未执行</t>
        </is>
      </c>
      <c r="Q380" s="10" t="inlineStr"/>
      <c r="R380" s="11" t="inlineStr"/>
    </row>
    <row r="381" ht="72" customHeight="1">
      <c r="A381" s="5" t="inlineStr">
        <is>
          <t>TC-RPT-377</t>
        </is>
      </c>
      <c r="B381" s="5" t="inlineStr">
        <is>
          <t>hero_cards</t>
        </is>
      </c>
      <c r="C381" s="5" t="inlineStr">
        <is>
          <t>Hero 手牌</t>
        </is>
      </c>
      <c r="D381" s="6" t="inlineStr">
        <is>
          <t>P0</t>
        </is>
      </c>
      <c r="E381" s="7" t="inlineStr">
        <is>
          <t>等价类划分法</t>
        </is>
      </c>
      <c r="F381" s="7" t="inlineStr">
        <is>
          <t>单手牌</t>
        </is>
      </c>
      <c r="G381" s="7" t="inlineStr">
        <is>
          <t>是</t>
        </is>
      </c>
      <c r="H381" s="8" t="inlineStr">
        <is>
          <t>Hero 两张手牌</t>
        </is>
      </c>
      <c r="I381" s="8" t="inlineStr">
        <is>
          <t>识别为标准牌面格式，如 A♠K♥</t>
        </is>
      </c>
      <c r="J381" s="8" t="inlineStr">
        <is>
          <t>Hero 手牌正例-识别出的两张手牌</t>
        </is>
      </c>
      <c r="K381" s="9" t="inlineStr">
        <is>
          <t>正例</t>
        </is>
      </c>
      <c r="L381" s="8" t="inlineStr">
        <is>
          <t>1、已登录，当前用户是 Hero。只用正例场。
2、素材里「Hero 手牌」应对的值=n</t>
        </is>
      </c>
      <c r="M381" s="8" t="inlineStr">
        <is>
          <t>1、上传素材，生成复盘报告，等到能打开。
2、打开「Hero 手牌」，检查是否为n。</t>
        </is>
      </c>
      <c r="N381" s="8" t="inlineStr">
        <is>
          <t>Hero 手牌=n</t>
        </is>
      </c>
      <c r="O381" s="8" t="inlineStr">
        <is>
          <t>hands[].hero_cards</t>
        </is>
      </c>
      <c r="P381" s="10" t="inlineStr">
        <is>
          <t>未执行</t>
        </is>
      </c>
      <c r="Q381" s="10" t="inlineStr"/>
      <c r="R381" s="11" t="inlineStr"/>
    </row>
    <row r="382" ht="72" customHeight="1">
      <c r="A382" s="5" t="inlineStr">
        <is>
          <t>TC-RPT-378</t>
        </is>
      </c>
      <c r="B382" s="5" t="inlineStr">
        <is>
          <t>hero_cards</t>
        </is>
      </c>
      <c r="C382" s="5" t="inlineStr">
        <is>
          <t>Hero 手牌</t>
        </is>
      </c>
      <c r="D382" s="6" t="inlineStr">
        <is>
          <t>P0</t>
        </is>
      </c>
      <c r="E382" s="7" t="inlineStr">
        <is>
          <t>等价类划分法</t>
        </is>
      </c>
      <c r="F382" s="7" t="inlineStr">
        <is>
          <t>单手牌</t>
        </is>
      </c>
      <c r="G382" s="7" t="inlineStr">
        <is>
          <t>是</t>
        </is>
      </c>
      <c r="H382" s="8" t="inlineStr">
        <is>
          <t>Hero 两张手牌</t>
        </is>
      </c>
      <c r="I382" s="8" t="inlineStr">
        <is>
          <t>识别为标准牌面格式，如 A♠K♥</t>
        </is>
      </c>
      <c r="J382" s="8" t="inlineStr">
        <is>
          <t>Hero 手牌反例-手牌没亮或被挡</t>
        </is>
      </c>
      <c r="K382" s="12" t="inlineStr">
        <is>
          <t>反例</t>
        </is>
      </c>
      <c r="L382" s="8" t="inlineStr">
        <is>
          <t>1、已登录，当前用户是 Hero。准备下列不该计入的素材。
2、手牌未亮或被遮挡。不应编造手牌，「Hero 手牌」仍=n</t>
        </is>
      </c>
      <c r="M382" s="8" t="inlineStr">
        <is>
          <t>1、上传素材，生成复盘报告，等到能打开。
2、打开「Hero 手牌」，检查是否为n。</t>
        </is>
      </c>
      <c r="N382" s="8" t="inlineStr">
        <is>
          <t>Hero 手牌=n</t>
        </is>
      </c>
      <c r="O382" s="8" t="inlineStr">
        <is>
          <t>hands[].hero_cards</t>
        </is>
      </c>
      <c r="P382" s="10" t="inlineStr">
        <is>
          <t>未执行</t>
        </is>
      </c>
      <c r="Q382" s="10" t="inlineStr"/>
      <c r="R382" s="11" t="inlineStr"/>
    </row>
    <row r="383" ht="72" customHeight="1">
      <c r="A383" s="5" t="inlineStr">
        <is>
          <t>TC-RPT-379</t>
        </is>
      </c>
      <c r="B383" s="5" t="inlineStr">
        <is>
          <t>hero_cards</t>
        </is>
      </c>
      <c r="C383" s="5" t="inlineStr">
        <is>
          <t>Hero 手牌</t>
        </is>
      </c>
      <c r="D383" s="6" t="inlineStr">
        <is>
          <t>P0</t>
        </is>
      </c>
      <c r="E383" s="7" t="inlineStr">
        <is>
          <t>错误推断法</t>
        </is>
      </c>
      <c r="F383" s="7" t="inlineStr">
        <is>
          <t>单手牌</t>
        </is>
      </c>
      <c r="G383" s="7" t="inlineStr">
        <is>
          <t>是</t>
        </is>
      </c>
      <c r="H383" s="8" t="inlineStr">
        <is>
          <t>Hero 两张手牌</t>
        </is>
      </c>
      <c r="I383" s="8" t="inlineStr">
        <is>
          <t>识别为标准牌面格式，如 A♠K♥</t>
        </is>
      </c>
      <c r="J383" s="8" t="inlineStr">
        <is>
          <t>Hero 手牌反例-源数据缺失不得编造</t>
        </is>
      </c>
      <c r="K383" s="12" t="inlineStr">
        <is>
          <t>反例</t>
        </is>
      </c>
      <c r="L383" s="8" t="inlineStr">
        <is>
          <t>1、已登录。本条只跑缺失场。
2、本场缺少「Hero 手牌」源数据。手牌被遮挡/没亮。</t>
        </is>
      </c>
      <c r="M383" s="8" t="inlineStr">
        <is>
          <t>1、上传素材，生成复盘报告，等到能打开。
2、打开「Hero 手牌」，检查是否为空或不出现。</t>
        </is>
      </c>
      <c r="N383" s="8" t="inlineStr">
        <is>
          <t>Hero 手牌为空或不出现</t>
        </is>
      </c>
      <c r="O383" s="8" t="inlineStr">
        <is>
          <t>hands[].hero_cards</t>
        </is>
      </c>
      <c r="P383" s="10" t="inlineStr">
        <is>
          <t>未执行</t>
        </is>
      </c>
      <c r="Q383" s="10" t="inlineStr"/>
      <c r="R383" s="11" t="inlineStr"/>
    </row>
    <row r="384" ht="72" customHeight="1">
      <c r="A384" s="5" t="inlineStr">
        <is>
          <t>TC-RPT-380</t>
        </is>
      </c>
      <c r="B384" s="5" t="inlineStr">
        <is>
          <t>hero_position</t>
        </is>
      </c>
      <c r="C384" s="5" t="inlineStr">
        <is>
          <t>Hero 真实位置</t>
        </is>
      </c>
      <c r="D384" s="6" t="inlineStr">
        <is>
          <t>P0</t>
        </is>
      </c>
      <c r="E384" s="7" t="inlineStr">
        <is>
          <t>场景设计法</t>
        </is>
      </c>
      <c r="F384" s="7" t="inlineStr">
        <is>
          <t>单手牌</t>
        </is>
      </c>
      <c r="G384" s="7" t="inlineStr">
        <is>
          <t>是</t>
        </is>
      </c>
      <c r="H384" s="8" t="inlineStr">
        <is>
          <t>Hero 本手牌所处位置</t>
        </is>
      </c>
      <c r="I384" s="8" t="inlineStr">
        <is>
          <t>将底层座位映射为 BTN / CO / SB / BB / UTG / MP 等，按之前给的不同桌位置定义执行</t>
        </is>
      </c>
      <c r="J384" s="8" t="inlineStr">
        <is>
          <t>Hero 真实位置正例-2人桌Hero坐小盲SB</t>
        </is>
      </c>
      <c r="K384" s="9" t="inlineStr">
        <is>
          <t>正例</t>
        </is>
      </c>
      <c r="L384" s="8" t="inlineStr">
        <is>
          <t>1、已登录，当前用户是 Hero。
2、2人桌单挑。Hero坐小盲位，按2人映射=SB（不得出现UTG）</t>
        </is>
      </c>
      <c r="M384" s="8" t="inlineStr">
        <is>
          <t>1、上传素材，生成复盘报告，等到能打开。
2、打开「Hero 真实位置」，检查是否为SB。</t>
        </is>
      </c>
      <c r="N384" s="8" t="inlineStr">
        <is>
          <t>Hero 真实位置=SB</t>
        </is>
      </c>
      <c r="O384" s="8" t="inlineStr">
        <is>
          <t>hands[].hero_position</t>
        </is>
      </c>
      <c r="P384" s="10" t="inlineStr">
        <is>
          <t>未执行</t>
        </is>
      </c>
      <c r="Q384" s="10" t="inlineStr"/>
      <c r="R384" s="11" t="inlineStr"/>
    </row>
    <row r="385" ht="72" customHeight="1">
      <c r="A385" s="5" t="inlineStr">
        <is>
          <t>TC-RPT-381</t>
        </is>
      </c>
      <c r="B385" s="5" t="inlineStr">
        <is>
          <t>hero_position</t>
        </is>
      </c>
      <c r="C385" s="5" t="inlineStr">
        <is>
          <t>Hero 真实位置</t>
        </is>
      </c>
      <c r="D385" s="6" t="inlineStr">
        <is>
          <t>P0</t>
        </is>
      </c>
      <c r="E385" s="7" t="inlineStr">
        <is>
          <t>场景设计法</t>
        </is>
      </c>
      <c r="F385" s="7" t="inlineStr">
        <is>
          <t>单手牌</t>
        </is>
      </c>
      <c r="G385" s="7" t="inlineStr">
        <is>
          <t>是</t>
        </is>
      </c>
      <c r="H385" s="8" t="inlineStr">
        <is>
          <t>Hero 本手牌所处位置</t>
        </is>
      </c>
      <c r="I385" s="8" t="inlineStr">
        <is>
          <t>将底层座位映射为 BTN / CO / SB / BB / UTG / MP 等，按之前给的不同桌位置定义执行</t>
        </is>
      </c>
      <c r="J385" s="8" t="inlineStr">
        <is>
          <t>Hero 真实位置正例-6人桌满座Hero在CO</t>
        </is>
      </c>
      <c r="K385" s="9" t="inlineStr">
        <is>
          <t>正例</t>
        </is>
      </c>
      <c r="L385" s="8" t="inlineStr">
        <is>
          <t>1、已登录，当前用户是 Hero。
2、6人桌满座。Hero在CO位</t>
        </is>
      </c>
      <c r="M385" s="8" t="inlineStr">
        <is>
          <t>1、上传素材，生成复盘报告，等到能打开。
2、打开「Hero 真实位置」，检查是否为CO。</t>
        </is>
      </c>
      <c r="N385" s="8" t="inlineStr">
        <is>
          <t>Hero 真实位置=CO</t>
        </is>
      </c>
      <c r="O385" s="8" t="inlineStr">
        <is>
          <t>hands[].hero_position</t>
        </is>
      </c>
      <c r="P385" s="10" t="inlineStr">
        <is>
          <t>未执行</t>
        </is>
      </c>
      <c r="Q385" s="10" t="inlineStr"/>
      <c r="R385" s="11" t="inlineStr"/>
    </row>
    <row r="386" ht="72" customHeight="1">
      <c r="A386" s="5" t="inlineStr">
        <is>
          <t>TC-RPT-382</t>
        </is>
      </c>
      <c r="B386" s="5" t="inlineStr">
        <is>
          <t>hero_position</t>
        </is>
      </c>
      <c r="C386" s="5" t="inlineStr">
        <is>
          <t>Hero 真实位置</t>
        </is>
      </c>
      <c r="D386" s="6" t="inlineStr">
        <is>
          <t>P0</t>
        </is>
      </c>
      <c r="E386" s="7" t="inlineStr">
        <is>
          <t>场景设计法</t>
        </is>
      </c>
      <c r="F386" s="7" t="inlineStr">
        <is>
          <t>单手牌</t>
        </is>
      </c>
      <c r="G386" s="7" t="inlineStr">
        <is>
          <t>是</t>
        </is>
      </c>
      <c r="H386" s="8" t="inlineStr">
        <is>
          <t>Hero 本手牌所处位置</t>
        </is>
      </c>
      <c r="I386" s="8" t="inlineStr">
        <is>
          <t>将底层座位映射为 BTN / CO / SB / BB / UTG / MP 等，按之前给的不同桌位置定义执行</t>
        </is>
      </c>
      <c r="J386" s="8" t="inlineStr">
        <is>
          <t>Hero 真实位置正例-9人桌8人入座Hero在按钮左第三席UTG+2</t>
        </is>
      </c>
      <c r="K386" s="9" t="inlineStr">
        <is>
          <t>正例</t>
        </is>
      </c>
      <c r="L386" s="8" t="inlineStr">
        <is>
          <t>1、已登录，当前用户是 Hero。
2、9人桌8人入座（空1席）。Hero在按钮左第三席，按9人映射=UTG+2</t>
        </is>
      </c>
      <c r="M386" s="8" t="inlineStr">
        <is>
          <t>1、上传素材，生成复盘报告，等到能打开。
2、打开「Hero 真实位置」，检查是否为UTG+2。</t>
        </is>
      </c>
      <c r="N386" s="8" t="inlineStr">
        <is>
          <t>Hero 真实位置=UTG+2</t>
        </is>
      </c>
      <c r="O386" s="8" t="inlineStr">
        <is>
          <t>hands[].hero_position</t>
        </is>
      </c>
      <c r="P386" s="10" t="inlineStr">
        <is>
          <t>未执行</t>
        </is>
      </c>
      <c r="Q386" s="10" t="inlineStr"/>
      <c r="R386" s="11" t="inlineStr"/>
    </row>
    <row r="387" ht="72" customHeight="1">
      <c r="A387" s="5" t="inlineStr">
        <is>
          <t>TC-RPT-383</t>
        </is>
      </c>
      <c r="B387" s="5" t="inlineStr">
        <is>
          <t>hero_position</t>
        </is>
      </c>
      <c r="C387" s="5" t="inlineStr">
        <is>
          <t>Hero 真实位置</t>
        </is>
      </c>
      <c r="D387" s="6" t="inlineStr">
        <is>
          <t>P0</t>
        </is>
      </c>
      <c r="E387" s="7" t="inlineStr">
        <is>
          <t>场景设计法</t>
        </is>
      </c>
      <c r="F387" s="7" t="inlineStr">
        <is>
          <t>单手牌</t>
        </is>
      </c>
      <c r="G387" s="7" t="inlineStr">
        <is>
          <t>是</t>
        </is>
      </c>
      <c r="H387" s="8" t="inlineStr">
        <is>
          <t>Hero 本手牌所处位置</t>
        </is>
      </c>
      <c r="I387" s="8" t="inlineStr">
        <is>
          <t>将底层座位映射为 BTN / CO / SB / BB / UTG / MP 等，按之前给的不同桌位置定义执行</t>
        </is>
      </c>
      <c r="J387" s="8" t="inlineStr">
        <is>
          <t>Hero 真实位置反例-9人桌8人入座Hero在按钮左第三席UTG+2</t>
        </is>
      </c>
      <c r="K387" s="12" t="inlineStr">
        <is>
          <t>反例</t>
        </is>
      </c>
      <c r="L387" s="8" t="inlineStr">
        <is>
          <t>1、已登录，当前用户是 Hero。
2、9人桌8人入座。Hero在按钮左第三席，按9人映射=UTG+2。不得标成六人桌HJ</t>
        </is>
      </c>
      <c r="M387" s="8" t="inlineStr">
        <is>
          <t>1、上传素材，生成复盘报告，等到能打开。
2、打开「Hero 真实位置」，检查是否为UTG+2。</t>
        </is>
      </c>
      <c r="N387" s="8" t="inlineStr">
        <is>
          <t>Hero 真实位置=UTG+2（不得为HJ）</t>
        </is>
      </c>
      <c r="O387" s="8" t="inlineStr">
        <is>
          <t>hands[].hero_position</t>
        </is>
      </c>
      <c r="P387" s="10" t="inlineStr">
        <is>
          <t>未执行</t>
        </is>
      </c>
      <c r="Q387" s="10" t="inlineStr"/>
      <c r="R387" s="11" t="inlineStr"/>
    </row>
    <row r="388" ht="72" customHeight="1">
      <c r="A388" s="5" t="inlineStr">
        <is>
          <t>TC-RPT-384</t>
        </is>
      </c>
      <c r="B388" s="5" t="inlineStr">
        <is>
          <t>blinds</t>
        </is>
      </c>
      <c r="C388" s="5" t="inlineStr">
        <is>
          <t>当前盲注</t>
        </is>
      </c>
      <c r="D388" s="6" t="inlineStr">
        <is>
          <t>P0</t>
        </is>
      </c>
      <c r="E388" s="7" t="inlineStr">
        <is>
          <t>等价类划分法</t>
        </is>
      </c>
      <c r="F388" s="7" t="inlineStr">
        <is>
          <t>单手牌</t>
        </is>
      </c>
      <c r="G388" s="7" t="inlineStr">
        <is>
          <t>内部</t>
        </is>
      </c>
      <c r="H388" s="8" t="inlineStr">
        <is>
          <t>该手牌大小盲信息</t>
        </is>
      </c>
      <c r="I388" s="8" t="inlineStr">
        <is>
          <t>从牌局结构化数据读取</t>
        </is>
      </c>
      <c r="J388" s="8" t="inlineStr">
        <is>
          <t>当前盲注正例-本手大小盲数值</t>
        </is>
      </c>
      <c r="K388" s="9" t="inlineStr">
        <is>
          <t>正例</t>
        </is>
      </c>
      <c r="L388" s="8" t="inlineStr">
        <is>
          <t>1、已登录，当前用户是 Hero。只用正例场。
2、素材里「当前盲注」应对的值=n</t>
        </is>
      </c>
      <c r="M388" s="8" t="inlineStr">
        <is>
          <t>1、上传素材，生成复盘报告，等到能打开。
2、打开「当前盲注」，检查是否为n。</t>
        </is>
      </c>
      <c r="N388" s="8" t="inlineStr">
        <is>
          <t>当前盲注=n</t>
        </is>
      </c>
      <c r="O388" s="8" t="inlineStr">
        <is>
          <t>hands[].blinds</t>
        </is>
      </c>
      <c r="P388" s="10" t="inlineStr">
        <is>
          <t>未执行</t>
        </is>
      </c>
      <c r="Q388" s="10" t="inlineStr"/>
      <c r="R388" s="11" t="inlineStr"/>
    </row>
    <row r="389" ht="72" customHeight="1">
      <c r="A389" s="5" t="inlineStr">
        <is>
          <t>TC-RPT-385</t>
        </is>
      </c>
      <c r="B389" s="5" t="inlineStr">
        <is>
          <t>blinds</t>
        </is>
      </c>
      <c r="C389" s="5" t="inlineStr">
        <is>
          <t>当前盲注</t>
        </is>
      </c>
      <c r="D389" s="6" t="inlineStr">
        <is>
          <t>P0</t>
        </is>
      </c>
      <c r="E389" s="7" t="inlineStr">
        <is>
          <t>等价类划分法</t>
        </is>
      </c>
      <c r="F389" s="7" t="inlineStr">
        <is>
          <t>单手牌</t>
        </is>
      </c>
      <c r="G389" s="7" t="inlineStr">
        <is>
          <t>内部</t>
        </is>
      </c>
      <c r="H389" s="8" t="inlineStr">
        <is>
          <t>该手牌大小盲信息</t>
        </is>
      </c>
      <c r="I389" s="8" t="inlineStr">
        <is>
          <t>从牌局结构化数据读取</t>
        </is>
      </c>
      <c r="J389" s="8" t="inlineStr">
        <is>
          <t>当前盲注反例-另一盲注场写进本场</t>
        </is>
      </c>
      <c r="K389" s="12" t="inlineStr">
        <is>
          <t>反例</t>
        </is>
      </c>
      <c r="L389" s="8" t="inlineStr">
        <is>
          <t>1、已登录，当前用户是 Hero。准备下列不该计入的素材。
2、另一盲注场写进本场，「当前盲注」仍=n</t>
        </is>
      </c>
      <c r="M389" s="8" t="inlineStr">
        <is>
          <t>1、上传素材，生成复盘报告，等到能打开。
2、打开「当前盲注」，检查是否为n。</t>
        </is>
      </c>
      <c r="N389" s="8" t="inlineStr">
        <is>
          <t>当前盲注=n</t>
        </is>
      </c>
      <c r="O389" s="8" t="inlineStr">
        <is>
          <t>hands[].blinds</t>
        </is>
      </c>
      <c r="P389" s="10" t="inlineStr">
        <is>
          <t>未执行</t>
        </is>
      </c>
      <c r="Q389" s="10" t="inlineStr"/>
      <c r="R389" s="11" t="inlineStr"/>
    </row>
    <row r="390" ht="72" customHeight="1">
      <c r="A390" s="5" t="inlineStr">
        <is>
          <t>TC-RPT-386</t>
        </is>
      </c>
      <c r="B390" s="5" t="inlineStr">
        <is>
          <t>effective_stack</t>
        </is>
      </c>
      <c r="C390" s="5" t="inlineStr">
        <is>
          <t>有效筹码</t>
        </is>
      </c>
      <c r="D390" s="13" t="inlineStr">
        <is>
          <t>P1</t>
        </is>
      </c>
      <c r="E390" s="7" t="inlineStr">
        <is>
          <t>等价类划分法</t>
        </is>
      </c>
      <c r="F390" s="7" t="inlineStr">
        <is>
          <t>单手牌</t>
        </is>
      </c>
      <c r="G390" s="7" t="inlineStr">
        <is>
          <t>内部</t>
        </is>
      </c>
      <c r="H390" s="8" t="inlineStr">
        <is>
          <t>Hero 与主要对手之间的有效筹码</t>
        </is>
      </c>
      <c r="I390" s="8" t="inlineStr">
        <is>
          <t>min(Hero stack, 主要对手 stack)</t>
        </is>
      </c>
      <c r="J390" s="8" t="inlineStr">
        <is>
          <t>有效筹码正例-用户与主要对手较小筹码</t>
        </is>
      </c>
      <c r="K390" s="9" t="inlineStr">
        <is>
          <t>正例</t>
        </is>
      </c>
      <c r="L390" s="8" t="inlineStr">
        <is>
          <t>1、已登录，当前用户是 Hero。只用正例场。
2、素材里「有效筹码」应对的值=n</t>
        </is>
      </c>
      <c r="M390" s="8" t="inlineStr">
        <is>
          <t>1、上传素材，生成复盘报告，等到能打开。
2、打开「有效筹码」，检查是否为n。</t>
        </is>
      </c>
      <c r="N390" s="8" t="inlineStr">
        <is>
          <t>有效筹码=n</t>
        </is>
      </c>
      <c r="O390" s="8" t="inlineStr">
        <is>
          <t>hands[].effective_stack</t>
        </is>
      </c>
      <c r="P390" s="10" t="inlineStr">
        <is>
          <t>未执行</t>
        </is>
      </c>
      <c r="Q390" s="10" t="inlineStr"/>
      <c r="R390" s="11" t="inlineStr"/>
    </row>
    <row r="391" ht="72" customHeight="1">
      <c r="A391" s="5" t="inlineStr">
        <is>
          <t>TC-RPT-387</t>
        </is>
      </c>
      <c r="B391" s="5" t="inlineStr">
        <is>
          <t>effective_stack</t>
        </is>
      </c>
      <c r="C391" s="5" t="inlineStr">
        <is>
          <t>有效筹码</t>
        </is>
      </c>
      <c r="D391" s="13" t="inlineStr">
        <is>
          <t>P1</t>
        </is>
      </c>
      <c r="E391" s="7" t="inlineStr">
        <is>
          <t>等价类划分法</t>
        </is>
      </c>
      <c r="F391" s="7" t="inlineStr">
        <is>
          <t>单手牌</t>
        </is>
      </c>
      <c r="G391" s="7" t="inlineStr">
        <is>
          <t>内部</t>
        </is>
      </c>
      <c r="H391" s="8" t="inlineStr">
        <is>
          <t>Hero 与主要对手之间的有效筹码</t>
        </is>
      </c>
      <c r="I391" s="8" t="inlineStr">
        <is>
          <t>min(Hero stack, 主要对手 stack)</t>
        </is>
      </c>
      <c r="J391" s="8" t="inlineStr">
        <is>
          <t>有效筹码反例-用自己筹码冒充</t>
        </is>
      </c>
      <c r="K391" s="12" t="inlineStr">
        <is>
          <t>反例</t>
        </is>
      </c>
      <c r="L391" s="8" t="inlineStr">
        <is>
          <t>1、已登录，当前用户是 Hero。准备下列不该计入的素材。
2、用自己筹码冒充，「有效筹码」仍=n</t>
        </is>
      </c>
      <c r="M391" s="8" t="inlineStr">
        <is>
          <t>1、上传素材，生成复盘报告，等到能打开。
2、打开「有效筹码」，检查是否为n。</t>
        </is>
      </c>
      <c r="N391" s="8" t="inlineStr">
        <is>
          <t>有效筹码=n</t>
        </is>
      </c>
      <c r="O391" s="8" t="inlineStr">
        <is>
          <t>hands[].effective_stack</t>
        </is>
      </c>
      <c r="P391" s="10" t="inlineStr">
        <is>
          <t>未执行</t>
        </is>
      </c>
      <c r="Q391" s="10" t="inlineStr"/>
      <c r="R391" s="11" t="inlineStr"/>
    </row>
    <row r="392" ht="72" customHeight="1">
      <c r="A392" s="5" t="inlineStr">
        <is>
          <t>TC-RPT-388</t>
        </is>
      </c>
      <c r="B392" s="5" t="inlineStr">
        <is>
          <t>board_flop</t>
        </is>
      </c>
      <c r="C392" s="5" t="inlineStr">
        <is>
          <t>翻牌公牌</t>
        </is>
      </c>
      <c r="D392" s="6" t="inlineStr">
        <is>
          <t>P0</t>
        </is>
      </c>
      <c r="E392" s="7" t="inlineStr">
        <is>
          <t>等价类划分法</t>
        </is>
      </c>
      <c r="F392" s="7" t="inlineStr">
        <is>
          <t>单手牌</t>
        </is>
      </c>
      <c r="G392" s="7" t="inlineStr">
        <is>
          <t>是</t>
        </is>
      </c>
      <c r="H392" s="8" t="inlineStr">
        <is>
          <t>翻牌三张公牌</t>
        </is>
      </c>
      <c r="I392" s="8" t="inlineStr">
        <is>
          <t>从牌面识别或结构化数据读取</t>
        </is>
      </c>
      <c r="J392" s="8" t="inlineStr">
        <is>
          <t>翻牌公牌正例-翻牌三张公牌</t>
        </is>
      </c>
      <c r="K392" s="9" t="inlineStr">
        <is>
          <t>正例</t>
        </is>
      </c>
      <c r="L392" s="8" t="inlineStr">
        <is>
          <t>1、已登录，当前用户是 Hero。只用正例场。
2、素材里「翻牌公牌」应对的值=n</t>
        </is>
      </c>
      <c r="M392" s="8" t="inlineStr">
        <is>
          <t>1、上传素材，生成复盘报告，等到能打开。
2、打开「翻牌公牌」，检查是否为n。</t>
        </is>
      </c>
      <c r="N392" s="8" t="inlineStr">
        <is>
          <t>翻牌公牌=n</t>
        </is>
      </c>
      <c r="O392" s="8" t="inlineStr">
        <is>
          <t>hands[].board_flop</t>
        </is>
      </c>
      <c r="P392" s="10" t="inlineStr">
        <is>
          <t>未执行</t>
        </is>
      </c>
      <c r="Q392" s="10" t="inlineStr"/>
      <c r="R392" s="11" t="inlineStr"/>
    </row>
    <row r="393" ht="72" customHeight="1">
      <c r="A393" s="5" t="inlineStr">
        <is>
          <t>TC-RPT-389</t>
        </is>
      </c>
      <c r="B393" s="5" t="inlineStr">
        <is>
          <t>board_flop</t>
        </is>
      </c>
      <c r="C393" s="5" t="inlineStr">
        <is>
          <t>翻牌公牌</t>
        </is>
      </c>
      <c r="D393" s="6" t="inlineStr">
        <is>
          <t>P0</t>
        </is>
      </c>
      <c r="E393" s="7" t="inlineStr">
        <is>
          <t>等价类划分法</t>
        </is>
      </c>
      <c r="F393" s="7" t="inlineStr">
        <is>
          <t>单手牌</t>
        </is>
      </c>
      <c r="G393" s="7" t="inlineStr">
        <is>
          <t>是</t>
        </is>
      </c>
      <c r="H393" s="8" t="inlineStr">
        <is>
          <t>翻牌三张公牌</t>
        </is>
      </c>
      <c r="I393" s="8" t="inlineStr">
        <is>
          <t>从牌面识别或结构化数据读取</t>
        </is>
      </c>
      <c r="J393" s="8" t="inlineStr">
        <is>
          <t>翻牌公牌反例-没发翻牌的手</t>
        </is>
      </c>
      <c r="K393" s="12" t="inlineStr">
        <is>
          <t>反例</t>
        </is>
      </c>
      <c r="L393" s="8" t="inlineStr">
        <is>
          <t>1、已登录，当前用户是 Hero。准备下列不该计入的素材。
2、Hero翻前结束或全下无人跟，不发翻牌。翻牌公牌应为空，「翻牌公牌」仍=n</t>
        </is>
      </c>
      <c r="M393" s="8" t="inlineStr">
        <is>
          <t>1、上传素材，生成复盘报告，等到能打开。
2、打开「翻牌公牌」，检查是否为n。</t>
        </is>
      </c>
      <c r="N393" s="8" t="inlineStr">
        <is>
          <t>翻牌公牌=n</t>
        </is>
      </c>
      <c r="O393" s="8" t="inlineStr">
        <is>
          <t>hands[].board_flop</t>
        </is>
      </c>
      <c r="P393" s="10" t="inlineStr">
        <is>
          <t>未执行</t>
        </is>
      </c>
      <c r="Q393" s="10" t="inlineStr"/>
      <c r="R393" s="11" t="inlineStr"/>
    </row>
    <row r="394" ht="72" customHeight="1">
      <c r="A394" s="5" t="inlineStr">
        <is>
          <t>TC-RPT-390</t>
        </is>
      </c>
      <c r="B394" s="5" t="inlineStr">
        <is>
          <t>board_flop</t>
        </is>
      </c>
      <c r="C394" s="5" t="inlineStr">
        <is>
          <t>翻牌公牌</t>
        </is>
      </c>
      <c r="D394" s="6" t="inlineStr">
        <is>
          <t>P0</t>
        </is>
      </c>
      <c r="E394" s="7" t="inlineStr">
        <is>
          <t>错误推断法</t>
        </is>
      </c>
      <c r="F394" s="7" t="inlineStr">
        <is>
          <t>单手牌</t>
        </is>
      </c>
      <c r="G394" s="7" t="inlineStr">
        <is>
          <t>是</t>
        </is>
      </c>
      <c r="H394" s="8" t="inlineStr">
        <is>
          <t>翻牌三张公牌</t>
        </is>
      </c>
      <c r="I394" s="8" t="inlineStr">
        <is>
          <t>从牌面识别或结构化数据读取</t>
        </is>
      </c>
      <c r="J394" s="8" t="inlineStr">
        <is>
          <t>翻牌公牌反例-源数据缺失不得编造</t>
        </is>
      </c>
      <c r="K394" s="12" t="inlineStr">
        <is>
          <t>反例</t>
        </is>
      </c>
      <c r="L394" s="8" t="inlineStr">
        <is>
          <t>1、已登录。本条只跑缺失场。
2、本场缺少「翻牌公牌」源数据。没进翻后或翻牌看不清。</t>
        </is>
      </c>
      <c r="M394" s="8" t="inlineStr">
        <is>
          <t>1、上传素材，生成复盘报告，等到能打开。
2、打开「翻牌公牌」，检查是否为空或不出现。</t>
        </is>
      </c>
      <c r="N394" s="8" t="inlineStr">
        <is>
          <t>翻牌公牌为空或不出现</t>
        </is>
      </c>
      <c r="O394" s="8" t="inlineStr">
        <is>
          <t>hands[].board_flop</t>
        </is>
      </c>
      <c r="P394" s="10" t="inlineStr">
        <is>
          <t>未执行</t>
        </is>
      </c>
      <c r="Q394" s="10" t="inlineStr"/>
      <c r="R394" s="11" t="inlineStr"/>
    </row>
    <row r="395" ht="72" customHeight="1">
      <c r="A395" s="5" t="inlineStr">
        <is>
          <t>TC-RPT-391</t>
        </is>
      </c>
      <c r="B395" s="5" t="inlineStr">
        <is>
          <t>board_turn</t>
        </is>
      </c>
      <c r="C395" s="5" t="inlineStr">
        <is>
          <t>转牌公牌</t>
        </is>
      </c>
      <c r="D395" s="6" t="inlineStr">
        <is>
          <t>P0</t>
        </is>
      </c>
      <c r="E395" s="7" t="inlineStr">
        <is>
          <t>等价类划分法</t>
        </is>
      </c>
      <c r="F395" s="7" t="inlineStr">
        <is>
          <t>单手牌</t>
        </is>
      </c>
      <c r="G395" s="7" t="inlineStr">
        <is>
          <t>是</t>
        </is>
      </c>
      <c r="H395" s="8" t="inlineStr">
        <is>
          <t>转牌公牌</t>
        </is>
      </c>
      <c r="I395" s="8" t="inlineStr">
        <is>
          <t>从牌面识别或结构化数据读取</t>
        </is>
      </c>
      <c r="J395" s="8" t="inlineStr">
        <is>
          <t>转牌公牌正例-转牌公牌</t>
        </is>
      </c>
      <c r="K395" s="9" t="inlineStr">
        <is>
          <t>正例</t>
        </is>
      </c>
      <c r="L395" s="8" t="inlineStr">
        <is>
          <t>1、已登录，当前用户是 Hero。只用正例场。
2、素材里「转牌公牌」应对的值=n</t>
        </is>
      </c>
      <c r="M395" s="8" t="inlineStr">
        <is>
          <t>1、上传素材，生成复盘报告，等到能打开。
2、打开「转牌公牌」，检查是否为n。</t>
        </is>
      </c>
      <c r="N395" s="8" t="inlineStr">
        <is>
          <t>转牌公牌=n</t>
        </is>
      </c>
      <c r="O395" s="8" t="inlineStr">
        <is>
          <t>hands[].board_turn</t>
        </is>
      </c>
      <c r="P395" s="10" t="inlineStr">
        <is>
          <t>未执行</t>
        </is>
      </c>
      <c r="Q395" s="10" t="inlineStr"/>
      <c r="R395" s="11" t="inlineStr"/>
    </row>
    <row r="396" ht="72" customHeight="1">
      <c r="A396" s="5" t="inlineStr">
        <is>
          <t>TC-RPT-392</t>
        </is>
      </c>
      <c r="B396" s="5" t="inlineStr">
        <is>
          <t>board_turn</t>
        </is>
      </c>
      <c r="C396" s="5" t="inlineStr">
        <is>
          <t>转牌公牌</t>
        </is>
      </c>
      <c r="D396" s="6" t="inlineStr">
        <is>
          <t>P0</t>
        </is>
      </c>
      <c r="E396" s="7" t="inlineStr">
        <is>
          <t>错误推断法</t>
        </is>
      </c>
      <c r="F396" s="7" t="inlineStr">
        <is>
          <t>单手牌</t>
        </is>
      </c>
      <c r="G396" s="7" t="inlineStr">
        <is>
          <t>是</t>
        </is>
      </c>
      <c r="H396" s="8" t="inlineStr">
        <is>
          <t>转牌公牌</t>
        </is>
      </c>
      <c r="I396" s="8" t="inlineStr">
        <is>
          <t>从牌面识别或结构化数据读取</t>
        </is>
      </c>
      <c r="J396" s="8" t="inlineStr">
        <is>
          <t>转牌公牌反例-源数据缺失不得编造</t>
        </is>
      </c>
      <c r="K396" s="12" t="inlineStr">
        <is>
          <t>反例</t>
        </is>
      </c>
      <c r="L396" s="8" t="inlineStr">
        <is>
          <t>1、已登录。本条只跑缺失场。
2、本场缺少「转牌公牌」源数据。没到转牌。</t>
        </is>
      </c>
      <c r="M396" s="8" t="inlineStr">
        <is>
          <t>1、上传素材，生成复盘报告，等到能打开。
2、打开「转牌公牌」，检查是否为空或不出现。</t>
        </is>
      </c>
      <c r="N396" s="8" t="inlineStr">
        <is>
          <t>转牌公牌为空或不出现</t>
        </is>
      </c>
      <c r="O396" s="8" t="inlineStr">
        <is>
          <t>hands[].board_turn</t>
        </is>
      </c>
      <c r="P396" s="10" t="inlineStr">
        <is>
          <t>未执行</t>
        </is>
      </c>
      <c r="Q396" s="10" t="inlineStr"/>
      <c r="R396" s="11" t="inlineStr"/>
    </row>
    <row r="397" ht="72" customHeight="1">
      <c r="A397" s="5" t="inlineStr">
        <is>
          <t>TC-RPT-393</t>
        </is>
      </c>
      <c r="B397" s="5" t="inlineStr">
        <is>
          <t>board_turn</t>
        </is>
      </c>
      <c r="C397" s="5" t="inlineStr">
        <is>
          <t>转牌公牌</t>
        </is>
      </c>
      <c r="D397" s="6" t="inlineStr">
        <is>
          <t>P0</t>
        </is>
      </c>
      <c r="E397" s="7" t="inlineStr">
        <is>
          <t>场景设计法</t>
        </is>
      </c>
      <c r="F397" s="7" t="inlineStr">
        <is>
          <t>单手牌</t>
        </is>
      </c>
      <c r="G397" s="7" t="inlineStr">
        <is>
          <t>是</t>
        </is>
      </c>
      <c r="H397" s="8" t="inlineStr">
        <is>
          <t>转牌公牌</t>
        </is>
      </c>
      <c r="I397" s="8" t="inlineStr">
        <is>
          <t>从牌面识别或结构化数据读取</t>
        </is>
      </c>
      <c r="J397" s="8" t="inlineStr">
        <is>
          <t>转牌公牌反例-翻前全下无人跟应为空</t>
        </is>
      </c>
      <c r="K397" s="12" t="inlineStr">
        <is>
          <t>反例</t>
        </is>
      </c>
      <c r="L397" s="8" t="inlineStr">
        <is>
          <t>1、已登录，当前用户是 Hero。
2、素材含一手：Hero翻前全下，其余人全弃，不发翻/转/河。该手转牌公牌应为空</t>
        </is>
      </c>
      <c r="M397" s="8" t="inlineStr">
        <is>
          <t>1、上传素材，生成复盘报告，等到能打开。
2、打开「转牌公牌」，检查是否为空。</t>
        </is>
      </c>
      <c r="N397" s="8" t="inlineStr">
        <is>
          <t>转牌公牌=空</t>
        </is>
      </c>
      <c r="O397" s="8" t="inlineStr">
        <is>
          <t>hands[].board_turn</t>
        </is>
      </c>
      <c r="P397" s="10" t="inlineStr">
        <is>
          <t>未执行</t>
        </is>
      </c>
      <c r="Q397" s="10" t="inlineStr"/>
      <c r="R397" s="11" t="inlineStr"/>
    </row>
    <row r="398" ht="72" customHeight="1">
      <c r="A398" s="5" t="inlineStr">
        <is>
          <t>TC-RPT-394</t>
        </is>
      </c>
      <c r="B398" s="5" t="inlineStr">
        <is>
          <t>board_turn</t>
        </is>
      </c>
      <c r="C398" s="5" t="inlineStr">
        <is>
          <t>转牌公牌</t>
        </is>
      </c>
      <c r="D398" s="6" t="inlineStr">
        <is>
          <t>P0</t>
        </is>
      </c>
      <c r="E398" s="7" t="inlineStr">
        <is>
          <t>场景设计法</t>
        </is>
      </c>
      <c r="F398" s="7" t="inlineStr">
        <is>
          <t>单手牌</t>
        </is>
      </c>
      <c r="G398" s="7" t="inlineStr">
        <is>
          <t>是</t>
        </is>
      </c>
      <c r="H398" s="8" t="inlineStr">
        <is>
          <t>转牌公牌</t>
        </is>
      </c>
      <c r="I398" s="8" t="inlineStr">
        <is>
          <t>从牌面识别或结构化数据读取</t>
        </is>
      </c>
      <c r="J398" s="8" t="inlineStr">
        <is>
          <t>转牌公牌反例-翻前弃牌或只到翻牌应为空</t>
        </is>
      </c>
      <c r="K398" s="12" t="inlineStr">
        <is>
          <t>反例</t>
        </is>
      </c>
      <c r="L398" s="8" t="inlineStr">
        <is>
          <t>1、已登录，当前用户是 Hero。
2、素材含两手：Hero翻前弃牌；或翻牌结束无人跟注到转牌。两手转牌公牌都应为空</t>
        </is>
      </c>
      <c r="M398" s="8" t="inlineStr">
        <is>
          <t>1、上传素材，生成复盘报告，等到能打开。
2、打开「转牌公牌」，检查是否为空。</t>
        </is>
      </c>
      <c r="N398" s="8" t="inlineStr">
        <is>
          <t>转牌公牌=空</t>
        </is>
      </c>
      <c r="O398" s="8" t="inlineStr">
        <is>
          <t>hands[].board_turn</t>
        </is>
      </c>
      <c r="P398" s="10" t="inlineStr">
        <is>
          <t>未执行</t>
        </is>
      </c>
      <c r="Q398" s="10" t="inlineStr"/>
      <c r="R398" s="11" t="inlineStr"/>
    </row>
    <row r="399" ht="72" customHeight="1">
      <c r="A399" s="5" t="inlineStr">
        <is>
          <t>TC-RPT-395</t>
        </is>
      </c>
      <c r="B399" s="5" t="inlineStr">
        <is>
          <t>board_river</t>
        </is>
      </c>
      <c r="C399" s="5" t="inlineStr">
        <is>
          <t>河牌公牌</t>
        </is>
      </c>
      <c r="D399" s="6" t="inlineStr">
        <is>
          <t>P0</t>
        </is>
      </c>
      <c r="E399" s="7" t="inlineStr">
        <is>
          <t>等价类划分法</t>
        </is>
      </c>
      <c r="F399" s="7" t="inlineStr">
        <is>
          <t>单手牌</t>
        </is>
      </c>
      <c r="G399" s="7" t="inlineStr">
        <is>
          <t>是</t>
        </is>
      </c>
      <c r="H399" s="8" t="inlineStr">
        <is>
          <t>河牌公牌</t>
        </is>
      </c>
      <c r="I399" s="8" t="inlineStr">
        <is>
          <t>从牌面识别或结构化数据读取</t>
        </is>
      </c>
      <c r="J399" s="8" t="inlineStr">
        <is>
          <t>河牌公牌正例-河牌公牌</t>
        </is>
      </c>
      <c r="K399" s="9" t="inlineStr">
        <is>
          <t>正例</t>
        </is>
      </c>
      <c r="L399" s="8" t="inlineStr">
        <is>
          <t>1、已登录，当前用户是 Hero。只用正例场。
2、素材里「河牌公牌」应对的值=n</t>
        </is>
      </c>
      <c r="M399" s="8" t="inlineStr">
        <is>
          <t>1、上传素材，生成复盘报告，等到能打开。
2、打开「河牌公牌」，检查是否为n。</t>
        </is>
      </c>
      <c r="N399" s="8" t="inlineStr">
        <is>
          <t>河牌公牌=n</t>
        </is>
      </c>
      <c r="O399" s="8" t="inlineStr">
        <is>
          <t>hands[].board_river</t>
        </is>
      </c>
      <c r="P399" s="10" t="inlineStr">
        <is>
          <t>未执行</t>
        </is>
      </c>
      <c r="Q399" s="10" t="inlineStr"/>
      <c r="R399" s="11" t="inlineStr"/>
    </row>
    <row r="400" ht="72" customHeight="1">
      <c r="A400" s="5" t="inlineStr">
        <is>
          <t>TC-RPT-396</t>
        </is>
      </c>
      <c r="B400" s="5" t="inlineStr">
        <is>
          <t>board_river</t>
        </is>
      </c>
      <c r="C400" s="5" t="inlineStr">
        <is>
          <t>河牌公牌</t>
        </is>
      </c>
      <c r="D400" s="6" t="inlineStr">
        <is>
          <t>P0</t>
        </is>
      </c>
      <c r="E400" s="7" t="inlineStr">
        <is>
          <t>错误推断法</t>
        </is>
      </c>
      <c r="F400" s="7" t="inlineStr">
        <is>
          <t>单手牌</t>
        </is>
      </c>
      <c r="G400" s="7" t="inlineStr">
        <is>
          <t>是</t>
        </is>
      </c>
      <c r="H400" s="8" t="inlineStr">
        <is>
          <t>河牌公牌</t>
        </is>
      </c>
      <c r="I400" s="8" t="inlineStr">
        <is>
          <t>从牌面识别或结构化数据读取</t>
        </is>
      </c>
      <c r="J400" s="8" t="inlineStr">
        <is>
          <t>河牌公牌反例-源数据缺失不得编造</t>
        </is>
      </c>
      <c r="K400" s="12" t="inlineStr">
        <is>
          <t>反例</t>
        </is>
      </c>
      <c r="L400" s="8" t="inlineStr">
        <is>
          <t>1、已登录。本条只跑缺失场。
2、本场缺少「河牌公牌」源数据。没到河牌。</t>
        </is>
      </c>
      <c r="M400" s="8" t="inlineStr">
        <is>
          <t>1、上传素材，生成复盘报告，等到能打开。
2、打开「河牌公牌」，检查是否为空或不出现。</t>
        </is>
      </c>
      <c r="N400" s="8" t="inlineStr">
        <is>
          <t>河牌公牌为空或不出现</t>
        </is>
      </c>
      <c r="O400" s="8" t="inlineStr">
        <is>
          <t>hands[].board_river</t>
        </is>
      </c>
      <c r="P400" s="10" t="inlineStr">
        <is>
          <t>未执行</t>
        </is>
      </c>
      <c r="Q400" s="10" t="inlineStr"/>
      <c r="R400" s="11" t="inlineStr"/>
    </row>
    <row r="401" ht="72" customHeight="1">
      <c r="A401" s="5" t="inlineStr">
        <is>
          <t>TC-RPT-397</t>
        </is>
      </c>
      <c r="B401" s="5" t="inlineStr">
        <is>
          <t>board_river</t>
        </is>
      </c>
      <c r="C401" s="5" t="inlineStr">
        <is>
          <t>河牌公牌</t>
        </is>
      </c>
      <c r="D401" s="6" t="inlineStr">
        <is>
          <t>P0</t>
        </is>
      </c>
      <c r="E401" s="7" t="inlineStr">
        <is>
          <t>场景设计法</t>
        </is>
      </c>
      <c r="F401" s="7" t="inlineStr">
        <is>
          <t>单手牌</t>
        </is>
      </c>
      <c r="G401" s="7" t="inlineStr">
        <is>
          <t>是</t>
        </is>
      </c>
      <c r="H401" s="8" t="inlineStr">
        <is>
          <t>河牌公牌</t>
        </is>
      </c>
      <c r="I401" s="8" t="inlineStr">
        <is>
          <t>从牌面识别或结构化数据读取</t>
        </is>
      </c>
      <c r="J401" s="8" t="inlineStr">
        <is>
          <t>河牌公牌反例-翻前全下无人跟应为空</t>
        </is>
      </c>
      <c r="K401" s="12" t="inlineStr">
        <is>
          <t>反例</t>
        </is>
      </c>
      <c r="L401" s="8" t="inlineStr">
        <is>
          <t>1、已登录，当前用户是 Hero。
2、素材含一手：Hero翻前全下，其余人全弃，不发翻/转/河。该手河牌公牌应为空</t>
        </is>
      </c>
      <c r="M401" s="8" t="inlineStr">
        <is>
          <t>1、上传素材，生成复盘报告，等到能打开。
2、打开「河牌公牌」，检查是否为空。</t>
        </is>
      </c>
      <c r="N401" s="8" t="inlineStr">
        <is>
          <t>河牌公牌=空</t>
        </is>
      </c>
      <c r="O401" s="8" t="inlineStr">
        <is>
          <t>hands[].board_river</t>
        </is>
      </c>
      <c r="P401" s="10" t="inlineStr">
        <is>
          <t>未执行</t>
        </is>
      </c>
      <c r="Q401" s="10" t="inlineStr"/>
      <c r="R401" s="11" t="inlineStr"/>
    </row>
    <row r="402" ht="72" customHeight="1">
      <c r="A402" s="5" t="inlineStr">
        <is>
          <t>TC-RPT-398</t>
        </is>
      </c>
      <c r="B402" s="5" t="inlineStr">
        <is>
          <t>board_river</t>
        </is>
      </c>
      <c r="C402" s="5" t="inlineStr">
        <is>
          <t>河牌公牌</t>
        </is>
      </c>
      <c r="D402" s="6" t="inlineStr">
        <is>
          <t>P0</t>
        </is>
      </c>
      <c r="E402" s="7" t="inlineStr">
        <is>
          <t>场景设计法</t>
        </is>
      </c>
      <c r="F402" s="7" t="inlineStr">
        <is>
          <t>单手牌</t>
        </is>
      </c>
      <c r="G402" s="7" t="inlineStr">
        <is>
          <t>是</t>
        </is>
      </c>
      <c r="H402" s="8" t="inlineStr">
        <is>
          <t>河牌公牌</t>
        </is>
      </c>
      <c r="I402" s="8" t="inlineStr">
        <is>
          <t>从牌面识别或结构化数据读取</t>
        </is>
      </c>
      <c r="J402" s="8" t="inlineStr">
        <is>
          <t>河牌公牌反例-未到河牌应为空</t>
        </is>
      </c>
      <c r="K402" s="12" t="inlineStr">
        <is>
          <t>反例</t>
        </is>
      </c>
      <c r="L402" s="8" t="inlineStr">
        <is>
          <t>1、已登录，当前用户是 Hero。
2、素材含两手：Hero翻前弃牌；或翻牌/转牌结束。河牌公牌都应为空</t>
        </is>
      </c>
      <c r="M402" s="8" t="inlineStr">
        <is>
          <t>1、上传素材，生成复盘报告，等到能打开。
2、打开「河牌公牌」，检查是否为空。</t>
        </is>
      </c>
      <c r="N402" s="8" t="inlineStr">
        <is>
          <t>河牌公牌=空</t>
        </is>
      </c>
      <c r="O402" s="8" t="inlineStr">
        <is>
          <t>hands[].board_river</t>
        </is>
      </c>
      <c r="P402" s="10" t="inlineStr">
        <is>
          <t>未执行</t>
        </is>
      </c>
      <c r="Q402" s="10" t="inlineStr"/>
      <c r="R402" s="11" t="inlineStr"/>
    </row>
    <row r="403" ht="72" customHeight="1">
      <c r="A403" s="5" t="inlineStr">
        <is>
          <t>TC-RPT-399</t>
        </is>
      </c>
      <c r="B403" s="5" t="inlineStr">
        <is>
          <t>pot_size_by_street</t>
        </is>
      </c>
      <c r="C403" s="5" t="inlineStr">
        <is>
          <t>每街底池大小</t>
        </is>
      </c>
      <c r="D403" s="13" t="inlineStr">
        <is>
          <t>P1</t>
        </is>
      </c>
      <c r="E403" s="7" t="inlineStr">
        <is>
          <t>等价类划分法</t>
        </is>
      </c>
      <c r="F403" s="7" t="inlineStr">
        <is>
          <t>单手牌</t>
        </is>
      </c>
      <c r="G403" s="7" t="inlineStr">
        <is>
          <t>内部</t>
        </is>
      </c>
      <c r="H403" s="8" t="inlineStr">
        <is>
          <t>翻前 / 翻牌 / 转牌 / 河牌底池变化</t>
        </is>
      </c>
      <c r="I403" s="8" t="inlineStr">
        <is>
          <t>按下注行动累计计算，或直接读取结构化底池字段</t>
        </is>
      </c>
      <c r="J403" s="8" t="inlineStr">
        <is>
          <t>每街底池大小正例-翻前到河牌各街底池</t>
        </is>
      </c>
      <c r="K403" s="9" t="inlineStr">
        <is>
          <t>正例</t>
        </is>
      </c>
      <c r="L403" s="8" t="inlineStr">
        <is>
          <t>1、已登录，当前用户是 Hero。只用正例场。
2、素材里「每街底池大小」应对的值=n</t>
        </is>
      </c>
      <c r="M403" s="8" t="inlineStr">
        <is>
          <t>1、上传素材，生成复盘报告，等到能打开。
2、打开「每街底池大小」，检查是否为n。</t>
        </is>
      </c>
      <c r="N403" s="8" t="inlineStr">
        <is>
          <t>每街底池大小=n</t>
        </is>
      </c>
      <c r="O403" s="8" t="inlineStr">
        <is>
          <t>hands[].pot_size_by_street</t>
        </is>
      </c>
      <c r="P403" s="10" t="inlineStr">
        <is>
          <t>未执行</t>
        </is>
      </c>
      <c r="Q403" s="10" t="inlineStr"/>
      <c r="R403" s="11" t="inlineStr"/>
    </row>
    <row r="404" ht="72" customHeight="1">
      <c r="A404" s="5" t="inlineStr">
        <is>
          <t>TC-RPT-400</t>
        </is>
      </c>
      <c r="B404" s="5" t="inlineStr">
        <is>
          <t>pot_size_by_street</t>
        </is>
      </c>
      <c r="C404" s="5" t="inlineStr">
        <is>
          <t>每街底池大小</t>
        </is>
      </c>
      <c r="D404" s="13" t="inlineStr">
        <is>
          <t>P1</t>
        </is>
      </c>
      <c r="E404" s="7" t="inlineStr">
        <is>
          <t>等价类划分法</t>
        </is>
      </c>
      <c r="F404" s="7" t="inlineStr">
        <is>
          <t>单手牌</t>
        </is>
      </c>
      <c r="G404" s="7" t="inlineStr">
        <is>
          <t>内部</t>
        </is>
      </c>
      <c r="H404" s="8" t="inlineStr">
        <is>
          <t>翻前 / 翻牌 / 转牌 / 河牌底池变化</t>
        </is>
      </c>
      <c r="I404" s="8" t="inlineStr">
        <is>
          <t>按下注行动累计计算，或直接读取结构化底池字段</t>
        </is>
      </c>
      <c r="J404" s="8" t="inlineStr">
        <is>
          <t>每街底池大小反例-四街填同一底池</t>
        </is>
      </c>
      <c r="K404" s="12" t="inlineStr">
        <is>
          <t>反例</t>
        </is>
      </c>
      <c r="L404" s="8" t="inlineStr">
        <is>
          <t>1、已登录，当前用户是 Hero。准备下列不该计入的素材。
2、四街填同一底池，「每街底池大小」仍=n</t>
        </is>
      </c>
      <c r="M404" s="8" t="inlineStr">
        <is>
          <t>1、上传素材，生成复盘报告，等到能打开。
2、打开「每街底池大小」，检查是否为n。</t>
        </is>
      </c>
      <c r="N404" s="8" t="inlineStr">
        <is>
          <t>每街底池大小=n</t>
        </is>
      </c>
      <c r="O404" s="8" t="inlineStr">
        <is>
          <t>hands[].pot_size_by_street</t>
        </is>
      </c>
      <c r="P404" s="10" t="inlineStr">
        <is>
          <t>未执行</t>
        </is>
      </c>
      <c r="Q404" s="10" t="inlineStr"/>
      <c r="R404" s="11" t="inlineStr"/>
    </row>
    <row r="405" ht="72" customHeight="1">
      <c r="A405" s="5" t="inlineStr">
        <is>
          <t>TC-RPT-401</t>
        </is>
      </c>
      <c r="B405" s="5" t="inlineStr">
        <is>
          <t>pot_size_by_street</t>
        </is>
      </c>
      <c r="C405" s="5" t="inlineStr">
        <is>
          <t>每街底池大小</t>
        </is>
      </c>
      <c r="D405" s="13" t="inlineStr">
        <is>
          <t>P1</t>
        </is>
      </c>
      <c r="E405" s="7" t="inlineStr">
        <is>
          <t>场景设计法</t>
        </is>
      </c>
      <c r="F405" s="7" t="inlineStr">
        <is>
          <t>单手牌</t>
        </is>
      </c>
      <c r="G405" s="7" t="inlineStr">
        <is>
          <t>内部</t>
        </is>
      </c>
      <c r="H405" s="8" t="inlineStr">
        <is>
          <t>翻前 / 翻牌 / 转牌 / 河牌底池变化</t>
        </is>
      </c>
      <c r="I405" s="8" t="inlineStr">
        <is>
          <t>按下注行动累计计算，或直接读取结构化底池字段</t>
        </is>
      </c>
      <c r="J405" s="8" t="inlineStr">
        <is>
          <t>每街底池正例-只打到翻牌时后面的街为空</t>
        </is>
      </c>
      <c r="K405" s="9" t="inlineStr">
        <is>
          <t>正例</t>
        </is>
      </c>
      <c r="L405" s="8" t="inlineStr">
        <is>
          <t>1、已登录，当前用户是 Hero。
2、素材含一手：翻牌结束，无转河。翻前底池=p1，翻牌底池=p2，转/河应为空</t>
        </is>
      </c>
      <c r="M405" s="8" t="inlineStr">
        <is>
          <t>1、上传素材，生成复盘报告，等到能打开。
2、打开「每街底池」，检查是否为翻前=p1，翻牌=p2，转/河为空。</t>
        </is>
      </c>
      <c r="N405" s="8" t="inlineStr">
        <is>
          <t>每街底池=翻前=p1，翻牌=p2，转/河为空</t>
        </is>
      </c>
      <c r="O405" s="8" t="inlineStr">
        <is>
          <t>hands[].pot_size_by_street</t>
        </is>
      </c>
      <c r="P405" s="10" t="inlineStr">
        <is>
          <t>未执行</t>
        </is>
      </c>
      <c r="Q405" s="10" t="inlineStr"/>
      <c r="R405" s="11" t="inlineStr"/>
    </row>
    <row r="406" ht="72" customHeight="1">
      <c r="A406" s="5" t="inlineStr">
        <is>
          <t>TC-RPT-402</t>
        </is>
      </c>
      <c r="B406" s="5" t="inlineStr">
        <is>
          <t>action_sequence_preflop</t>
        </is>
      </c>
      <c r="C406" s="5" t="inlineStr">
        <is>
          <t>翻前行动链</t>
        </is>
      </c>
      <c r="D406" s="6" t="inlineStr">
        <is>
          <t>P0</t>
        </is>
      </c>
      <c r="E406" s="7" t="inlineStr">
        <is>
          <t>等价类划分法</t>
        </is>
      </c>
      <c r="F406" s="7" t="inlineStr">
        <is>
          <t>单手牌</t>
        </is>
      </c>
      <c r="G406" s="7" t="inlineStr">
        <is>
          <t>是</t>
        </is>
      </c>
      <c r="H406" s="8" t="inlineStr">
        <is>
          <t>翻前所有玩家行动序列</t>
        </is>
      </c>
      <c r="I406" s="8" t="inlineStr">
        <is>
          <t>按真实位置和动作顺序输出自然行动链</t>
        </is>
      </c>
      <c r="J406" s="8" t="inlineStr">
        <is>
          <t>翻前行动链正例-翻前按位行动链</t>
        </is>
      </c>
      <c r="K406" s="9" t="inlineStr">
        <is>
          <t>正例</t>
        </is>
      </c>
      <c r="L406" s="8" t="inlineStr">
        <is>
          <t>1、已登录，当前用户是 Hero。只用正例场。
2、素材里「翻前行动链」应对的值=n</t>
        </is>
      </c>
      <c r="M406" s="8" t="inlineStr">
        <is>
          <t>1、上传素材，生成复盘报告，等到能打开。
2、打开「翻前行动链」，检查是否为n。</t>
        </is>
      </c>
      <c r="N406" s="8" t="inlineStr">
        <is>
          <t>翻前行动链=n</t>
        </is>
      </c>
      <c r="O406" s="8" t="inlineStr">
        <is>
          <t>hands[].action_sequence_preflop</t>
        </is>
      </c>
      <c r="P406" s="10" t="inlineStr">
        <is>
          <t>未执行</t>
        </is>
      </c>
      <c r="Q406" s="10" t="inlineStr"/>
      <c r="R406" s="11" t="inlineStr"/>
    </row>
    <row r="407" ht="72" customHeight="1">
      <c r="A407" s="5" t="inlineStr">
        <is>
          <t>TC-RPT-403</t>
        </is>
      </c>
      <c r="B407" s="5" t="inlineStr">
        <is>
          <t>action_sequence_preflop</t>
        </is>
      </c>
      <c r="C407" s="5" t="inlineStr">
        <is>
          <t>翻前行动链</t>
        </is>
      </c>
      <c r="D407" s="6" t="inlineStr">
        <is>
          <t>P0</t>
        </is>
      </c>
      <c r="E407" s="7" t="inlineStr">
        <is>
          <t>等价类划分法</t>
        </is>
      </c>
      <c r="F407" s="7" t="inlineStr">
        <is>
          <t>单手牌</t>
        </is>
      </c>
      <c r="G407" s="7" t="inlineStr">
        <is>
          <t>是</t>
        </is>
      </c>
      <c r="H407" s="8" t="inlineStr">
        <is>
          <t>翻前所有玩家行动序列</t>
        </is>
      </c>
      <c r="I407" s="8" t="inlineStr">
        <is>
          <t>按真实位置和动作顺序输出自然行动链</t>
        </is>
      </c>
      <c r="J407" s="8" t="inlineStr">
        <is>
          <t>翻前行动链反例-旁观未入座无本人翻前链</t>
        </is>
      </c>
      <c r="K407" s="12" t="inlineStr">
        <is>
          <t>反例</t>
        </is>
      </c>
      <c r="L407" s="8" t="inlineStr">
        <is>
          <t>1、已登录，当前用户是 Hero。准备下列不该计入的素材。
2、旁观未入座无本人翻前链，「翻前行动链」仍=n</t>
        </is>
      </c>
      <c r="M407" s="8" t="inlineStr">
        <is>
          <t>1、上传素材，生成复盘报告，等到能打开。
2、打开「翻前行动链」，检查是否为n。</t>
        </is>
      </c>
      <c r="N407" s="8" t="inlineStr">
        <is>
          <t>翻前行动链=n</t>
        </is>
      </c>
      <c r="O407" s="8" t="inlineStr">
        <is>
          <t>hands[].action_sequence_preflop</t>
        </is>
      </c>
      <c r="P407" s="10" t="inlineStr">
        <is>
          <t>未执行</t>
        </is>
      </c>
      <c r="Q407" s="10" t="inlineStr"/>
      <c r="R407" s="11" t="inlineStr"/>
    </row>
    <row r="408" ht="72" customHeight="1">
      <c r="A408" s="5" t="inlineStr">
        <is>
          <t>TC-RPT-404</t>
        </is>
      </c>
      <c r="B408" s="5" t="inlineStr">
        <is>
          <t>action_sequence_flop</t>
        </is>
      </c>
      <c r="C408" s="5" t="inlineStr">
        <is>
          <t>翻牌行动链</t>
        </is>
      </c>
      <c r="D408" s="6" t="inlineStr">
        <is>
          <t>P0</t>
        </is>
      </c>
      <c r="E408" s="7" t="inlineStr">
        <is>
          <t>等价类划分法</t>
        </is>
      </c>
      <c r="F408" s="7" t="inlineStr">
        <is>
          <t>单手牌</t>
        </is>
      </c>
      <c r="G408" s="7" t="inlineStr">
        <is>
          <t>是</t>
        </is>
      </c>
      <c r="H408" s="8" t="inlineStr">
        <is>
          <t>翻牌圈所有玩家行动序列</t>
        </is>
      </c>
      <c r="I408" s="8" t="inlineStr">
        <is>
          <t>按真实位置和动作顺序输出自然行动链</t>
        </is>
      </c>
      <c r="J408" s="8" t="inlineStr">
        <is>
          <t>翻牌行动链正例-翻牌圈行动链</t>
        </is>
      </c>
      <c r="K408" s="9" t="inlineStr">
        <is>
          <t>正例</t>
        </is>
      </c>
      <c r="L408" s="8" t="inlineStr">
        <is>
          <t>1、已登录，当前用户是 Hero。只用正例场。
2、素材里「翻牌行动链」应对的值=n</t>
        </is>
      </c>
      <c r="M408" s="8" t="inlineStr">
        <is>
          <t>1、上传素材，生成复盘报告，等到能打开。
2、打开「翻牌行动链」，检查是否为n。</t>
        </is>
      </c>
      <c r="N408" s="8" t="inlineStr">
        <is>
          <t>翻牌行动链=n</t>
        </is>
      </c>
      <c r="O408" s="8" t="inlineStr">
        <is>
          <t>hands[].action_sequence_flop</t>
        </is>
      </c>
      <c r="P408" s="10" t="inlineStr">
        <is>
          <t>未执行</t>
        </is>
      </c>
      <c r="Q408" s="10" t="inlineStr"/>
      <c r="R408" s="11" t="inlineStr"/>
    </row>
    <row r="409" ht="72" customHeight="1">
      <c r="A409" s="5" t="inlineStr">
        <is>
          <t>TC-RPT-405</t>
        </is>
      </c>
      <c r="B409" s="5" t="inlineStr">
        <is>
          <t>action_sequence_flop</t>
        </is>
      </c>
      <c r="C409" s="5" t="inlineStr">
        <is>
          <t>翻牌行动链</t>
        </is>
      </c>
      <c r="D409" s="6" t="inlineStr">
        <is>
          <t>P0</t>
        </is>
      </c>
      <c r="E409" s="7" t="inlineStr">
        <is>
          <t>等价类划分法</t>
        </is>
      </c>
      <c r="F409" s="7" t="inlineStr">
        <is>
          <t>单手牌</t>
        </is>
      </c>
      <c r="G409" s="7" t="inlineStr">
        <is>
          <t>是</t>
        </is>
      </c>
      <c r="H409" s="8" t="inlineStr">
        <is>
          <t>翻牌圈所有玩家行动序列</t>
        </is>
      </c>
      <c r="I409" s="8" t="inlineStr">
        <is>
          <t>按真实位置和动作顺序输出自然行动链</t>
        </is>
      </c>
      <c r="J409" s="8" t="inlineStr">
        <is>
          <t>翻牌行动链反例-没进翻后的手</t>
        </is>
      </c>
      <c r="K409" s="12" t="inlineStr">
        <is>
          <t>反例</t>
        </is>
      </c>
      <c r="L409" s="8" t="inlineStr">
        <is>
          <t>1、已登录，当前用户是 Hero。准备下列不该计入的素材。
2、Hero翻前结束，没有翻牌。翻牌行动链应为空，「翻牌行动链」仍=n</t>
        </is>
      </c>
      <c r="M409" s="8" t="inlineStr">
        <is>
          <t>1、上传素材，生成复盘报告，等到能打开。
2、打开「翻牌行动链」，检查是否为n。</t>
        </is>
      </c>
      <c r="N409" s="8" t="inlineStr">
        <is>
          <t>翻牌行动链=n</t>
        </is>
      </c>
      <c r="O409" s="8" t="inlineStr">
        <is>
          <t>hands[].action_sequence_flop</t>
        </is>
      </c>
      <c r="P409" s="10" t="inlineStr">
        <is>
          <t>未执行</t>
        </is>
      </c>
      <c r="Q409" s="10" t="inlineStr"/>
      <c r="R409" s="11" t="inlineStr"/>
    </row>
    <row r="410" ht="72" customHeight="1">
      <c r="A410" s="5" t="inlineStr">
        <is>
          <t>TC-RPT-406</t>
        </is>
      </c>
      <c r="B410" s="5" t="inlineStr">
        <is>
          <t>action_sequence_flop</t>
        </is>
      </c>
      <c r="C410" s="5" t="inlineStr">
        <is>
          <t>翻牌行动链</t>
        </is>
      </c>
      <c r="D410" s="6" t="inlineStr">
        <is>
          <t>P0</t>
        </is>
      </c>
      <c r="E410" s="7" t="inlineStr">
        <is>
          <t>错误推断法</t>
        </is>
      </c>
      <c r="F410" s="7" t="inlineStr">
        <is>
          <t>单手牌</t>
        </is>
      </c>
      <c r="G410" s="7" t="inlineStr">
        <is>
          <t>是</t>
        </is>
      </c>
      <c r="H410" s="8" t="inlineStr">
        <is>
          <t>翻牌圈所有玩家行动序列</t>
        </is>
      </c>
      <c r="I410" s="8" t="inlineStr">
        <is>
          <t>按真实位置和动作顺序输出自然行动链</t>
        </is>
      </c>
      <c r="J410" s="8" t="inlineStr">
        <is>
          <t>翻牌行动链反例-源数据缺失不得编造</t>
        </is>
      </c>
      <c r="K410" s="12" t="inlineStr">
        <is>
          <t>反例</t>
        </is>
      </c>
      <c r="L410" s="8" t="inlineStr">
        <is>
          <t>1、已登录。本条只跑缺失场。
2、本场缺少「翻牌行动链」源数据。没到翻牌或看不清。</t>
        </is>
      </c>
      <c r="M410" s="8" t="inlineStr">
        <is>
          <t>1、上传素材，生成复盘报告，等到能打开。
2、打开「翻牌行动链」，检查是否为空或不出现。</t>
        </is>
      </c>
      <c r="N410" s="8" t="inlineStr">
        <is>
          <t>翻牌行动链为空或不出现</t>
        </is>
      </c>
      <c r="O410" s="8" t="inlineStr">
        <is>
          <t>hands[].action_sequence_flop</t>
        </is>
      </c>
      <c r="P410" s="10" t="inlineStr">
        <is>
          <t>未执行</t>
        </is>
      </c>
      <c r="Q410" s="10" t="inlineStr"/>
      <c r="R410" s="11" t="inlineStr"/>
    </row>
    <row r="411" ht="72" customHeight="1">
      <c r="A411" s="5" t="inlineStr">
        <is>
          <t>TC-RPT-407</t>
        </is>
      </c>
      <c r="B411" s="5" t="inlineStr">
        <is>
          <t>action_sequence_turn</t>
        </is>
      </c>
      <c r="C411" s="5" t="inlineStr">
        <is>
          <t>转牌行动链</t>
        </is>
      </c>
      <c r="D411" s="6" t="inlineStr">
        <is>
          <t>P0</t>
        </is>
      </c>
      <c r="E411" s="7" t="inlineStr">
        <is>
          <t>等价类划分法</t>
        </is>
      </c>
      <c r="F411" s="7" t="inlineStr">
        <is>
          <t>单手牌</t>
        </is>
      </c>
      <c r="G411" s="7" t="inlineStr">
        <is>
          <t>是</t>
        </is>
      </c>
      <c r="H411" s="8" t="inlineStr">
        <is>
          <t>转牌圈所有玩家行动序列</t>
        </is>
      </c>
      <c r="I411" s="8" t="inlineStr">
        <is>
          <t>按真实位置和动作顺序输出自然行动链</t>
        </is>
      </c>
      <c r="J411" s="8" t="inlineStr">
        <is>
          <t>转牌行动链正例-转牌圈行动链</t>
        </is>
      </c>
      <c r="K411" s="9" t="inlineStr">
        <is>
          <t>正例</t>
        </is>
      </c>
      <c r="L411" s="8" t="inlineStr">
        <is>
          <t>1、已登录，当前用户是 Hero。只用正例场。
2、素材里「转牌行动链」应对的值=n</t>
        </is>
      </c>
      <c r="M411" s="8" t="inlineStr">
        <is>
          <t>1、上传素材，生成复盘报告，等到能打开。
2、打开「转牌行动链」，检查是否为n。</t>
        </is>
      </c>
      <c r="N411" s="8" t="inlineStr">
        <is>
          <t>转牌行动链=n</t>
        </is>
      </c>
      <c r="O411" s="8" t="inlineStr">
        <is>
          <t>hands[].action_sequence_turn</t>
        </is>
      </c>
      <c r="P411" s="10" t="inlineStr">
        <is>
          <t>未执行</t>
        </is>
      </c>
      <c r="Q411" s="10" t="inlineStr"/>
      <c r="R411" s="11" t="inlineStr"/>
    </row>
    <row r="412" ht="72" customHeight="1">
      <c r="A412" s="5" t="inlineStr">
        <is>
          <t>TC-RPT-408</t>
        </is>
      </c>
      <c r="B412" s="5" t="inlineStr">
        <is>
          <t>action_sequence_turn</t>
        </is>
      </c>
      <c r="C412" s="5" t="inlineStr">
        <is>
          <t>转牌行动链</t>
        </is>
      </c>
      <c r="D412" s="6" t="inlineStr">
        <is>
          <t>P0</t>
        </is>
      </c>
      <c r="E412" s="7" t="inlineStr">
        <is>
          <t>错误推断法</t>
        </is>
      </c>
      <c r="F412" s="7" t="inlineStr">
        <is>
          <t>单手牌</t>
        </is>
      </c>
      <c r="G412" s="7" t="inlineStr">
        <is>
          <t>是</t>
        </is>
      </c>
      <c r="H412" s="8" t="inlineStr">
        <is>
          <t>转牌圈所有玩家行动序列</t>
        </is>
      </c>
      <c r="I412" s="8" t="inlineStr">
        <is>
          <t>按真实位置和动作顺序输出自然行动链</t>
        </is>
      </c>
      <c r="J412" s="8" t="inlineStr">
        <is>
          <t>转牌行动链反例-源数据缺失不得编造</t>
        </is>
      </c>
      <c r="K412" s="12" t="inlineStr">
        <is>
          <t>反例</t>
        </is>
      </c>
      <c r="L412" s="8" t="inlineStr">
        <is>
          <t>1、已登录。本条只跑缺失场。
2、本场缺少「转牌行动链」源数据。没到转牌。</t>
        </is>
      </c>
      <c r="M412" s="8" t="inlineStr">
        <is>
          <t>1、上传素材，生成复盘报告，等到能打开。
2、打开「转牌行动链」，检查是否为空或不出现。</t>
        </is>
      </c>
      <c r="N412" s="8" t="inlineStr">
        <is>
          <t>转牌行动链为空或不出现</t>
        </is>
      </c>
      <c r="O412" s="8" t="inlineStr">
        <is>
          <t>hands[].action_sequence_turn</t>
        </is>
      </c>
      <c r="P412" s="10" t="inlineStr">
        <is>
          <t>未执行</t>
        </is>
      </c>
      <c r="Q412" s="10" t="inlineStr"/>
      <c r="R412" s="11" t="inlineStr"/>
    </row>
    <row r="413" ht="72" customHeight="1">
      <c r="A413" s="5" t="inlineStr">
        <is>
          <t>TC-RPT-409</t>
        </is>
      </c>
      <c r="B413" s="5" t="inlineStr">
        <is>
          <t>action_sequence_turn</t>
        </is>
      </c>
      <c r="C413" s="5" t="inlineStr">
        <is>
          <t>转牌行动链</t>
        </is>
      </c>
      <c r="D413" s="6" t="inlineStr">
        <is>
          <t>P0</t>
        </is>
      </c>
      <c r="E413" s="7" t="inlineStr">
        <is>
          <t>错误推断法</t>
        </is>
      </c>
      <c r="F413" s="7" t="inlineStr">
        <is>
          <t>单手牌</t>
        </is>
      </c>
      <c r="G413" s="7" t="inlineStr">
        <is>
          <t>是</t>
        </is>
      </c>
      <c r="H413" s="8" t="inlineStr">
        <is>
          <t>转牌圈所有玩家行动序列</t>
        </is>
      </c>
      <c r="I413" s="8" t="inlineStr">
        <is>
          <t>按真实位置和动作顺序输出自然行动链</t>
        </is>
      </c>
      <c r="J413" s="8" t="inlineStr">
        <is>
          <t>转牌行动链反例-未到转牌应为空</t>
        </is>
      </c>
      <c r="K413" s="12" t="inlineStr">
        <is>
          <t>反例</t>
        </is>
      </c>
      <c r="L413" s="8" t="inlineStr">
        <is>
          <t>1、已登录，当前用户是 Hero。
2、素材含一手：翻牌结束，没有转牌。转牌行动链应为空</t>
        </is>
      </c>
      <c r="M413" s="8" t="inlineStr">
        <is>
          <t>1、上传素材，生成复盘报告，等到能打开。
2、打开「转牌行动链」，检查是否为空。</t>
        </is>
      </c>
      <c r="N413" s="8" t="inlineStr">
        <is>
          <t>转牌行动链=空</t>
        </is>
      </c>
      <c r="O413" s="8" t="inlineStr">
        <is>
          <t>hands[].action_sequence_turn</t>
        </is>
      </c>
      <c r="P413" s="10" t="inlineStr">
        <is>
          <t>未执行</t>
        </is>
      </c>
      <c r="Q413" s="10" t="inlineStr"/>
      <c r="R413" s="11" t="inlineStr"/>
    </row>
    <row r="414" ht="72" customHeight="1">
      <c r="A414" s="5" t="inlineStr">
        <is>
          <t>TC-RPT-410</t>
        </is>
      </c>
      <c r="B414" s="5" t="inlineStr">
        <is>
          <t>action_sequence_river</t>
        </is>
      </c>
      <c r="C414" s="5" t="inlineStr">
        <is>
          <t>河牌行动链</t>
        </is>
      </c>
      <c r="D414" s="6" t="inlineStr">
        <is>
          <t>P0</t>
        </is>
      </c>
      <c r="E414" s="7" t="inlineStr">
        <is>
          <t>等价类划分法</t>
        </is>
      </c>
      <c r="F414" s="7" t="inlineStr">
        <is>
          <t>单手牌</t>
        </is>
      </c>
      <c r="G414" s="7" t="inlineStr">
        <is>
          <t>是</t>
        </is>
      </c>
      <c r="H414" s="8" t="inlineStr">
        <is>
          <t>河牌圈所有玩家行动序列</t>
        </is>
      </c>
      <c r="I414" s="8" t="inlineStr">
        <is>
          <t>按真实位置和动作顺序输出自然行动链</t>
        </is>
      </c>
      <c r="J414" s="8" t="inlineStr">
        <is>
          <t>河牌行动链正例-河牌圈行动链</t>
        </is>
      </c>
      <c r="K414" s="9" t="inlineStr">
        <is>
          <t>正例</t>
        </is>
      </c>
      <c r="L414" s="8" t="inlineStr">
        <is>
          <t>1、已登录，当前用户是 Hero。只用正例场。
2、素材里「河牌行动链」应对的值=n</t>
        </is>
      </c>
      <c r="M414" s="8" t="inlineStr">
        <is>
          <t>1、上传素材，生成复盘报告，等到能打开。
2、打开「河牌行动链」，检查是否为n。</t>
        </is>
      </c>
      <c r="N414" s="8" t="inlineStr">
        <is>
          <t>河牌行动链=n</t>
        </is>
      </c>
      <c r="O414" s="8" t="inlineStr">
        <is>
          <t>hands[].action_sequence_river</t>
        </is>
      </c>
      <c r="P414" s="10" t="inlineStr">
        <is>
          <t>未执行</t>
        </is>
      </c>
      <c r="Q414" s="10" t="inlineStr"/>
      <c r="R414" s="11" t="inlineStr"/>
    </row>
    <row r="415" ht="72" customHeight="1">
      <c r="A415" s="5" t="inlineStr">
        <is>
          <t>TC-RPT-411</t>
        </is>
      </c>
      <c r="B415" s="5" t="inlineStr">
        <is>
          <t>action_sequence_river</t>
        </is>
      </c>
      <c r="C415" s="5" t="inlineStr">
        <is>
          <t>河牌行动链</t>
        </is>
      </c>
      <c r="D415" s="6" t="inlineStr">
        <is>
          <t>P0</t>
        </is>
      </c>
      <c r="E415" s="7" t="inlineStr">
        <is>
          <t>错误推断法</t>
        </is>
      </c>
      <c r="F415" s="7" t="inlineStr">
        <is>
          <t>单手牌</t>
        </is>
      </c>
      <c r="G415" s="7" t="inlineStr">
        <is>
          <t>是</t>
        </is>
      </c>
      <c r="H415" s="8" t="inlineStr">
        <is>
          <t>河牌圈所有玩家行动序列</t>
        </is>
      </c>
      <c r="I415" s="8" t="inlineStr">
        <is>
          <t>按真实位置和动作顺序输出自然行动链</t>
        </is>
      </c>
      <c r="J415" s="8" t="inlineStr">
        <is>
          <t>河牌行动链反例-源数据缺失不得编造</t>
        </is>
      </c>
      <c r="K415" s="12" t="inlineStr">
        <is>
          <t>反例</t>
        </is>
      </c>
      <c r="L415" s="8" t="inlineStr">
        <is>
          <t>1、已登录。本条只跑缺失场。
2、本场缺少「河牌行动链」源数据。没到河牌。</t>
        </is>
      </c>
      <c r="M415" s="8" t="inlineStr">
        <is>
          <t>1、上传素材，生成复盘报告，等到能打开。
2、打开「河牌行动链」，检查是否为空或不出现。</t>
        </is>
      </c>
      <c r="N415" s="8" t="inlineStr">
        <is>
          <t>河牌行动链为空或不出现</t>
        </is>
      </c>
      <c r="O415" s="8" t="inlineStr">
        <is>
          <t>hands[].action_sequence_river</t>
        </is>
      </c>
      <c r="P415" s="10" t="inlineStr">
        <is>
          <t>未执行</t>
        </is>
      </c>
      <c r="Q415" s="10" t="inlineStr"/>
      <c r="R415" s="11" t="inlineStr"/>
    </row>
    <row r="416" ht="72" customHeight="1">
      <c r="A416" s="5" t="inlineStr">
        <is>
          <t>TC-RPT-412</t>
        </is>
      </c>
      <c r="B416" s="5" t="inlineStr">
        <is>
          <t>action_sequence_river</t>
        </is>
      </c>
      <c r="C416" s="5" t="inlineStr">
        <is>
          <t>河牌行动链</t>
        </is>
      </c>
      <c r="D416" s="6" t="inlineStr">
        <is>
          <t>P0</t>
        </is>
      </c>
      <c r="E416" s="7" t="inlineStr">
        <is>
          <t>错误推断法</t>
        </is>
      </c>
      <c r="F416" s="7" t="inlineStr">
        <is>
          <t>单手牌</t>
        </is>
      </c>
      <c r="G416" s="7" t="inlineStr">
        <is>
          <t>是</t>
        </is>
      </c>
      <c r="H416" s="8" t="inlineStr">
        <is>
          <t>河牌圈所有玩家行动序列</t>
        </is>
      </c>
      <c r="I416" s="8" t="inlineStr">
        <is>
          <t>按真实位置和动作顺序输出自然行动链</t>
        </is>
      </c>
      <c r="J416" s="8" t="inlineStr">
        <is>
          <t>河牌行动链反例-未到河牌应为空</t>
        </is>
      </c>
      <c r="K416" s="12" t="inlineStr">
        <is>
          <t>反例</t>
        </is>
      </c>
      <c r="L416" s="8" t="inlineStr">
        <is>
          <t>1、已登录，当前用户是 Hero。
2、素材含一手：转牌结束，没有河牌。河牌行动链应为空</t>
        </is>
      </c>
      <c r="M416" s="8" t="inlineStr">
        <is>
          <t>1、上传素材，生成复盘报告，等到能打开。
2、打开「河牌行动链」，检查是否为空。</t>
        </is>
      </c>
      <c r="N416" s="8" t="inlineStr">
        <is>
          <t>河牌行动链=空</t>
        </is>
      </c>
      <c r="O416" s="8" t="inlineStr">
        <is>
          <t>hands[].action_sequence_river</t>
        </is>
      </c>
      <c r="P416" s="10" t="inlineStr">
        <is>
          <t>未执行</t>
        </is>
      </c>
      <c r="Q416" s="10" t="inlineStr"/>
      <c r="R416" s="11" t="inlineStr"/>
    </row>
    <row r="417" ht="72" customHeight="1">
      <c r="A417" s="5" t="inlineStr">
        <is>
          <t>TC-RPT-413</t>
        </is>
      </c>
      <c r="B417" s="5" t="inlineStr">
        <is>
          <t>hero_actual_actions</t>
        </is>
      </c>
      <c r="C417" s="5" t="inlineStr">
        <is>
          <t>Hero 每街动作</t>
        </is>
      </c>
      <c r="D417" s="6" t="inlineStr">
        <is>
          <t>P0</t>
        </is>
      </c>
      <c r="E417" s="7" t="inlineStr">
        <is>
          <t>等价类划分法</t>
        </is>
      </c>
      <c r="F417" s="7" t="inlineStr">
        <is>
          <t>单手牌</t>
        </is>
      </c>
      <c r="G417" s="7" t="inlineStr">
        <is>
          <t>内部 / 单手展示</t>
        </is>
      </c>
      <c r="H417" s="8" t="inlineStr">
        <is>
          <t>Hero 在每个决策点采取的动作集合</t>
        </is>
      </c>
      <c r="I417" s="8" t="inlineStr">
        <is>
          <t>按街次记录 Hero action</t>
        </is>
      </c>
      <c r="J417" s="8" t="inlineStr">
        <is>
          <t>Hero 每街动作正例-用户各街动作列表</t>
        </is>
      </c>
      <c r="K417" s="9" t="inlineStr">
        <is>
          <t>正例</t>
        </is>
      </c>
      <c r="L417" s="8" t="inlineStr">
        <is>
          <t>1、已登录，当前用户是 Hero。只用正例场。
2、素材里「Hero 每街动作」应对的值=n</t>
        </is>
      </c>
      <c r="M417" s="8" t="inlineStr">
        <is>
          <t>1、上传素材，生成复盘报告，等到能打开。
2、打开「Hero 每街动作」，检查是否为n。</t>
        </is>
      </c>
      <c r="N417" s="8" t="inlineStr">
        <is>
          <t>Hero 每街动作=n</t>
        </is>
      </c>
      <c r="O417" s="8" t="inlineStr">
        <is>
          <t>hands[].hero_actual_actions</t>
        </is>
      </c>
      <c r="P417" s="10" t="inlineStr">
        <is>
          <t>未执行</t>
        </is>
      </c>
      <c r="Q417" s="10" t="inlineStr"/>
      <c r="R417" s="11" t="inlineStr"/>
    </row>
    <row r="418" ht="72" customHeight="1">
      <c r="A418" s="5" t="inlineStr">
        <is>
          <t>TC-RPT-414</t>
        </is>
      </c>
      <c r="B418" s="5" t="inlineStr">
        <is>
          <t>hero_actual_actions</t>
        </is>
      </c>
      <c r="C418" s="5" t="inlineStr">
        <is>
          <t>Hero 每街动作</t>
        </is>
      </c>
      <c r="D418" s="6" t="inlineStr">
        <is>
          <t>P0</t>
        </is>
      </c>
      <c r="E418" s="7" t="inlineStr">
        <is>
          <t>等价类划分法</t>
        </is>
      </c>
      <c r="F418" s="7" t="inlineStr">
        <is>
          <t>单手牌</t>
        </is>
      </c>
      <c r="G418" s="7" t="inlineStr">
        <is>
          <t>内部 / 单手展示</t>
        </is>
      </c>
      <c r="H418" s="8" t="inlineStr">
        <is>
          <t>Hero 在每个决策点采取的动作集合</t>
        </is>
      </c>
      <c r="I418" s="8" t="inlineStr">
        <is>
          <t>按街次记录 Hero action</t>
        </is>
      </c>
      <c r="J418" s="8" t="inlineStr">
        <is>
          <t>Hero 每街动作反例-混进对手动作</t>
        </is>
      </c>
      <c r="K418" s="12" t="inlineStr">
        <is>
          <t>反例</t>
        </is>
      </c>
      <c r="L418" s="8" t="inlineStr">
        <is>
          <t>1、已登录，当前用户是 Hero。准备下列不该计入的素材。
2、混进对手动作，「Hero 每街动作」仍=n</t>
        </is>
      </c>
      <c r="M418" s="8" t="inlineStr">
        <is>
          <t>1、上传素材，生成复盘报告，等到能打开。
2、打开「Hero 每街动作」，检查是否为n。</t>
        </is>
      </c>
      <c r="N418" s="8" t="inlineStr">
        <is>
          <t>Hero 每街动作=n</t>
        </is>
      </c>
      <c r="O418" s="8" t="inlineStr">
        <is>
          <t>hands[].hero_actual_actions</t>
        </is>
      </c>
      <c r="P418" s="10" t="inlineStr">
        <is>
          <t>未执行</t>
        </is>
      </c>
      <c r="Q418" s="10" t="inlineStr"/>
      <c r="R418" s="11" t="inlineStr"/>
    </row>
    <row r="419" ht="72" customHeight="1">
      <c r="A419" s="5" t="inlineStr">
        <is>
          <t>TC-RPT-415</t>
        </is>
      </c>
      <c r="B419" s="5" t="inlineStr">
        <is>
          <t>hero_actual_actions</t>
        </is>
      </c>
      <c r="C419" s="5" t="inlineStr">
        <is>
          <t>Hero 每街动作</t>
        </is>
      </c>
      <c r="D419" s="6" t="inlineStr">
        <is>
          <t>P0</t>
        </is>
      </c>
      <c r="E419" s="7" t="inlineStr">
        <is>
          <t>场景设计法</t>
        </is>
      </c>
      <c r="F419" s="7" t="inlineStr">
        <is>
          <t>单手牌</t>
        </is>
      </c>
      <c r="G419" s="7" t="inlineStr">
        <is>
          <t>内部 / 单手展示</t>
        </is>
      </c>
      <c r="H419" s="8" t="inlineStr">
        <is>
          <t>Hero 在每个决策点采取的动作集合</t>
        </is>
      </c>
      <c r="I419" s="8" t="inlineStr">
        <is>
          <t>按街次记录 Hero action</t>
        </is>
      </c>
      <c r="J419" s="8" t="inlineStr">
        <is>
          <t>Hero每街动作正例-四条街分别记录</t>
        </is>
      </c>
      <c r="K419" s="9" t="inlineStr">
        <is>
          <t>正例</t>
        </is>
      </c>
      <c r="L419" s="8" t="inlineStr">
        <is>
          <t>1、已登录，当前用户是 Hero。
2、同一手四街动作：翻前 raise、翻牌 bet、转牌 check、河牌 call。应对=这四步</t>
        </is>
      </c>
      <c r="M419" s="8" t="inlineStr">
        <is>
          <t>1、上传素材，生成复盘报告，等到能打开。
2、打开「Hero每街动作」，检查是否为翻前raise / 翻牌bet / 转牌check / 河牌call。</t>
        </is>
      </c>
      <c r="N419" s="8" t="inlineStr">
        <is>
          <t>Hero每街动作=翻前raise / 翻牌bet / 转牌check / 河牌call</t>
        </is>
      </c>
      <c r="O419" s="8" t="inlineStr">
        <is>
          <t>hands[].hero_actual_actions</t>
        </is>
      </c>
      <c r="P419" s="10" t="inlineStr">
        <is>
          <t>未执行</t>
        </is>
      </c>
      <c r="Q419" s="10" t="inlineStr"/>
      <c r="R419" s="11" t="inlineStr"/>
    </row>
    <row r="420" ht="72" customHeight="1">
      <c r="A420" s="5" t="inlineStr">
        <is>
          <t>TC-RPT-416</t>
        </is>
      </c>
      <c r="B420" s="5" t="inlineStr">
        <is>
          <t>showdown_result</t>
        </is>
      </c>
      <c r="C420" s="5" t="inlineStr">
        <is>
          <t>摊牌结果</t>
        </is>
      </c>
      <c r="D420" s="13" t="inlineStr">
        <is>
          <t>P1</t>
        </is>
      </c>
      <c r="E420" s="7" t="inlineStr">
        <is>
          <t>错误推断法</t>
        </is>
      </c>
      <c r="F420" s="7" t="inlineStr">
        <is>
          <t>单手牌</t>
        </is>
      </c>
      <c r="G420" s="7" t="inlineStr">
        <is>
          <t>是</t>
        </is>
      </c>
      <c r="H420" s="8" t="inlineStr">
        <is>
          <t>摊牌牌力、胜负和亮牌信息</t>
        </is>
      </c>
      <c r="I420" s="8" t="inlineStr">
        <is>
          <t>从摊牌后所有玩家亮牌数据读取</t>
        </is>
      </c>
      <c r="J420" s="8" t="inlineStr">
        <is>
          <t>摊牌结果反例-源数据缺失不得编造</t>
        </is>
      </c>
      <c r="K420" s="12" t="inlineStr">
        <is>
          <t>反例</t>
        </is>
      </c>
      <c r="L420" s="8" t="inlineStr">
        <is>
          <t>1、已登录。本条只跑缺失场。
2、本场缺少「摊牌结果」源数据。未摊牌：本字段省略，不是编一个牌力。</t>
        </is>
      </c>
      <c r="M420" s="8" t="inlineStr">
        <is>
          <t>1、上传素材，生成复盘报告，等到能打开。
2、打开「摊牌结果」，检查是否为空或不出现。</t>
        </is>
      </c>
      <c r="N420" s="8" t="inlineStr">
        <is>
          <t>摊牌结果为空或不出现</t>
        </is>
      </c>
      <c r="O420" s="8" t="inlineStr">
        <is>
          <t>hands[].showdown_result</t>
        </is>
      </c>
      <c r="P420" s="10" t="inlineStr">
        <is>
          <t>未执行</t>
        </is>
      </c>
      <c r="Q420" s="10" t="inlineStr"/>
      <c r="R420" s="11" t="inlineStr"/>
    </row>
    <row r="421" ht="72" customHeight="1">
      <c r="A421" s="5" t="inlineStr">
        <is>
          <t>TC-RPT-417</t>
        </is>
      </c>
      <c r="B421" s="5" t="inlineStr">
        <is>
          <t>showdown_result</t>
        </is>
      </c>
      <c r="C421" s="5" t="inlineStr">
        <is>
          <t>摊牌结果</t>
        </is>
      </c>
      <c r="D421" s="13" t="inlineStr">
        <is>
          <t>P1</t>
        </is>
      </c>
      <c r="E421" s="7" t="inlineStr">
        <is>
          <t>场景设计法</t>
        </is>
      </c>
      <c r="F421" s="7" t="inlineStr">
        <is>
          <t>单手牌</t>
        </is>
      </c>
      <c r="G421" s="7" t="inlineStr">
        <is>
          <t>是</t>
        </is>
      </c>
      <c r="H421" s="8" t="inlineStr">
        <is>
          <t>摊牌牌力、胜负和亮牌信息</t>
        </is>
      </c>
      <c r="I421" s="8" t="inlineStr">
        <is>
          <t>从摊牌后所有玩家亮牌数据读取</t>
        </is>
      </c>
      <c r="J421" s="8" t="inlineStr">
        <is>
          <t>摊牌结果正例-翻前全下有人跟翻前亮牌</t>
        </is>
      </c>
      <c r="K421" s="9" t="inlineStr">
        <is>
          <t>正例</t>
        </is>
      </c>
      <c r="L421" s="8" t="inlineStr">
        <is>
          <t>1、已登录，当前用户是 Hero。
2、素材含一手：Hero翻前全下，至少一人跟注；双方在翻前亮手牌，随后发出翻、转、河。该手摊牌结果=记下的牌面/胜负</t>
        </is>
      </c>
      <c r="M421" s="8" t="inlineStr">
        <is>
          <t>1、上传素材，生成复盘报告，等到能打开。
2、打开「摊牌结果」，检查是否为n。</t>
        </is>
      </c>
      <c r="N421" s="8" t="inlineStr">
        <is>
          <t>摊牌结果=n</t>
        </is>
      </c>
      <c r="O421" s="8" t="inlineStr">
        <is>
          <t>hands[].showdown_result</t>
        </is>
      </c>
      <c r="P421" s="10" t="inlineStr">
        <is>
          <t>未执行</t>
        </is>
      </c>
      <c r="Q421" s="10" t="inlineStr"/>
      <c r="R421" s="11" t="inlineStr"/>
    </row>
    <row r="422" ht="72" customHeight="1">
      <c r="A422" s="5" t="inlineStr">
        <is>
          <t>TC-RPT-418</t>
        </is>
      </c>
      <c r="B422" s="5" t="inlineStr">
        <is>
          <t>showdown_result</t>
        </is>
      </c>
      <c r="C422" s="5" t="inlineStr">
        <is>
          <t>摊牌结果</t>
        </is>
      </c>
      <c r="D422" s="13" t="inlineStr">
        <is>
          <t>P1</t>
        </is>
      </c>
      <c r="E422" s="7" t="inlineStr">
        <is>
          <t>场景设计法</t>
        </is>
      </c>
      <c r="F422" s="7" t="inlineStr">
        <is>
          <t>单手牌</t>
        </is>
      </c>
      <c r="G422" s="7" t="inlineStr">
        <is>
          <t>是</t>
        </is>
      </c>
      <c r="H422" s="8" t="inlineStr">
        <is>
          <t>摊牌牌力、胜负和亮牌信息</t>
        </is>
      </c>
      <c r="I422" s="8" t="inlineStr">
        <is>
          <t>从摊牌后所有玩家亮牌数据读取</t>
        </is>
      </c>
      <c r="J422" s="8" t="inlineStr">
        <is>
          <t>摊牌结果正例-翻牌全下有人跟翻牌亮牌</t>
        </is>
      </c>
      <c r="K422" s="9" t="inlineStr">
        <is>
          <t>正例</t>
        </is>
      </c>
      <c r="L422" s="8" t="inlineStr">
        <is>
          <t>1、已登录，当前用户是 Hero。
2、素材含一手：用户翻牌全下，至少一人跟注；双方在翻牌亮手牌，随后发出转、河。该手摊牌结果有值</t>
        </is>
      </c>
      <c r="M422" s="8" t="inlineStr">
        <is>
          <t>1、上传素材，生成复盘报告，等到能打开。
2、打开「摊牌结果」，检查是否为有值。</t>
        </is>
      </c>
      <c r="N422" s="8" t="inlineStr">
        <is>
          <t>摊牌结果=有值</t>
        </is>
      </c>
      <c r="O422" s="8" t="inlineStr">
        <is>
          <t>hands[].showdown_result</t>
        </is>
      </c>
      <c r="P422" s="10" t="inlineStr">
        <is>
          <t>未执行</t>
        </is>
      </c>
      <c r="Q422" s="10" t="inlineStr"/>
      <c r="R422" s="11" t="inlineStr"/>
    </row>
    <row r="423" ht="72" customHeight="1">
      <c r="A423" s="5" t="inlineStr">
        <is>
          <t>TC-RPT-419</t>
        </is>
      </c>
      <c r="B423" s="5" t="inlineStr">
        <is>
          <t>showdown_result</t>
        </is>
      </c>
      <c r="C423" s="5" t="inlineStr">
        <is>
          <t>摊牌结果</t>
        </is>
      </c>
      <c r="D423" s="13" t="inlineStr">
        <is>
          <t>P1</t>
        </is>
      </c>
      <c r="E423" s="7" t="inlineStr">
        <is>
          <t>场景设计法</t>
        </is>
      </c>
      <c r="F423" s="7" t="inlineStr">
        <is>
          <t>单手牌</t>
        </is>
      </c>
      <c r="G423" s="7" t="inlineStr">
        <is>
          <t>是</t>
        </is>
      </c>
      <c r="H423" s="8" t="inlineStr">
        <is>
          <t>摊牌牌力、胜负和亮牌信息</t>
        </is>
      </c>
      <c r="I423" s="8" t="inlineStr">
        <is>
          <t>从摊牌后所有玩家亮牌数据读取</t>
        </is>
      </c>
      <c r="J423" s="8" t="inlineStr">
        <is>
          <t>摊牌结果正例-转牌全下有人跟转牌亮牌</t>
        </is>
      </c>
      <c r="K423" s="9" t="inlineStr">
        <is>
          <t>正例</t>
        </is>
      </c>
      <c r="L423" s="8" t="inlineStr">
        <is>
          <t>1、已登录，当前用户是 Hero。
2、素材含一手：用户转牌全下，至少一人跟注；双方在转牌亮手牌，随后发出河牌。该手摊牌结果有值</t>
        </is>
      </c>
      <c r="M423" s="8" t="inlineStr">
        <is>
          <t>1、上传素材，生成复盘报告，等到能打开。
2、打开「摊牌结果」，检查是否为有值。</t>
        </is>
      </c>
      <c r="N423" s="8" t="inlineStr">
        <is>
          <t>摊牌结果=有值</t>
        </is>
      </c>
      <c r="O423" s="8" t="inlineStr">
        <is>
          <t>hands[].showdown_result</t>
        </is>
      </c>
      <c r="P423" s="10" t="inlineStr">
        <is>
          <t>未执行</t>
        </is>
      </c>
      <c r="Q423" s="10" t="inlineStr"/>
      <c r="R423" s="11" t="inlineStr"/>
    </row>
    <row r="424" ht="72" customHeight="1">
      <c r="A424" s="5" t="inlineStr">
        <is>
          <t>TC-RPT-420</t>
        </is>
      </c>
      <c r="B424" s="5" t="inlineStr">
        <is>
          <t>showdown_result</t>
        </is>
      </c>
      <c r="C424" s="5" t="inlineStr">
        <is>
          <t>摊牌结果</t>
        </is>
      </c>
      <c r="D424" s="13" t="inlineStr">
        <is>
          <t>P1</t>
        </is>
      </c>
      <c r="E424" s="7" t="inlineStr">
        <is>
          <t>错误推断法</t>
        </is>
      </c>
      <c r="F424" s="7" t="inlineStr">
        <is>
          <t>单手牌</t>
        </is>
      </c>
      <c r="G424" s="7" t="inlineStr">
        <is>
          <t>是</t>
        </is>
      </c>
      <c r="H424" s="8" t="inlineStr">
        <is>
          <t>摊牌牌力、胜负和亮牌信息</t>
        </is>
      </c>
      <c r="I424" s="8" t="inlineStr">
        <is>
          <t>从摊牌后所有玩家亮牌数据读取</t>
        </is>
      </c>
      <c r="J424" s="8" t="inlineStr">
        <is>
          <t>摊牌结果反例-翻前全下无人跟不得编造牌力</t>
        </is>
      </c>
      <c r="K424" s="12" t="inlineStr">
        <is>
          <t>反例</t>
        </is>
      </c>
      <c r="L424" s="8" t="inlineStr">
        <is>
          <t>1、已登录，当前用户是 Hero。
2、素材含一手：Hero翻前全下，其余人全弃；不发翻/转/河，翻前收池，双方不亮牌。摊牌结果应为空</t>
        </is>
      </c>
      <c r="M424" s="8" t="inlineStr">
        <is>
          <t>1、上传素材，生成复盘报告，等到能打开。
2、打开「摊牌结果」，检查是否为空。</t>
        </is>
      </c>
      <c r="N424" s="8" t="inlineStr">
        <is>
          <t>摊牌结果=空</t>
        </is>
      </c>
      <c r="O424" s="8" t="inlineStr">
        <is>
          <t>hands[].showdown_result</t>
        </is>
      </c>
      <c r="P424" s="10" t="inlineStr">
        <is>
          <t>未执行</t>
        </is>
      </c>
      <c r="Q424" s="10" t="inlineStr"/>
      <c r="R424" s="11" t="inlineStr"/>
    </row>
    <row r="425" ht="72" customHeight="1">
      <c r="A425" s="5" t="inlineStr">
        <is>
          <t>TC-RPT-421</t>
        </is>
      </c>
      <c r="B425" s="5" t="inlineStr">
        <is>
          <t>showdown_result</t>
        </is>
      </c>
      <c r="C425" s="5" t="inlineStr">
        <is>
          <t>摊牌结果</t>
        </is>
      </c>
      <c r="D425" s="13" t="inlineStr">
        <is>
          <t>P1</t>
        </is>
      </c>
      <c r="E425" s="7" t="inlineStr">
        <is>
          <t>错误推断法</t>
        </is>
      </c>
      <c r="F425" s="7" t="inlineStr">
        <is>
          <t>单手牌</t>
        </is>
      </c>
      <c r="G425" s="7" t="inlineStr">
        <is>
          <t>是</t>
        </is>
      </c>
      <c r="H425" s="8" t="inlineStr">
        <is>
          <t>摊牌牌力、胜负和亮牌信息</t>
        </is>
      </c>
      <c r="I425" s="8" t="inlineStr">
        <is>
          <t>从摊牌后所有玩家亮牌数据读取</t>
        </is>
      </c>
      <c r="J425" s="8" t="inlineStr">
        <is>
          <t>摊牌结果反例-各街弃牌未亮不得编造牌力</t>
        </is>
      </c>
      <c r="K425" s="12" t="inlineStr">
        <is>
          <t>反例</t>
        </is>
      </c>
      <c r="L425" s="8" t="inlineStr">
        <is>
          <t>1、已登录，当前用户是 Hero。
2、素材含三手：翻牌弃结束不发转河、转牌弃结束不发河、河牌弃未亮。三手摊牌结果都应为空</t>
        </is>
      </c>
      <c r="M425" s="8" t="inlineStr">
        <is>
          <t>1、上传素材，生成复盘报告，等到能打开。
2、打开「摊牌结果」，检查是否为空。</t>
        </is>
      </c>
      <c r="N425" s="8" t="inlineStr">
        <is>
          <t>摊牌结果=空</t>
        </is>
      </c>
      <c r="O425" s="8" t="inlineStr">
        <is>
          <t>hands[].showdown_result</t>
        </is>
      </c>
      <c r="P425" s="10" t="inlineStr">
        <is>
          <t>未执行</t>
        </is>
      </c>
      <c r="Q425" s="10" t="inlineStr"/>
      <c r="R425" s="11" t="inlineStr"/>
    </row>
    <row r="426" ht="72" customHeight="1">
      <c r="A426" s="5" t="inlineStr">
        <is>
          <t>TC-RPT-422</t>
        </is>
      </c>
      <c r="B426" s="5" t="inlineStr">
        <is>
          <t>is_multiway_pot</t>
        </is>
      </c>
      <c r="C426" s="5" t="inlineStr">
        <is>
          <t>是否多人底池</t>
        </is>
      </c>
      <c r="D426" s="13" t="inlineStr">
        <is>
          <t>P1</t>
        </is>
      </c>
      <c r="E426" s="7" t="inlineStr">
        <is>
          <t>等价类划分法</t>
        </is>
      </c>
      <c r="F426" s="7" t="inlineStr">
        <is>
          <t>单手牌</t>
        </is>
      </c>
      <c r="G426" s="7" t="inlineStr">
        <is>
          <t>内部</t>
        </is>
      </c>
      <c r="H426" s="8" t="inlineStr">
        <is>
          <t>是否 3 人及以上进入底池</t>
        </is>
      </c>
      <c r="I426" s="8" t="inlineStr">
        <is>
          <t>进入翻后人数 &gt;= 3</t>
        </is>
      </c>
      <c r="J426" s="8" t="inlineStr">
        <is>
          <t>是否多人底池正例-翻后至少3人仍在底池</t>
        </is>
      </c>
      <c r="K426" s="9" t="inlineStr">
        <is>
          <t>正例</t>
        </is>
      </c>
      <c r="L426" s="8" t="inlineStr">
        <is>
          <t>1、已登录，当前用户是 Hero。只用正例场。
2、素材里「是否多人底池」应对的值=n</t>
        </is>
      </c>
      <c r="M426" s="8" t="inlineStr">
        <is>
          <t>1、上传素材，生成复盘报告，等到能打开。
2、打开「是否多人底池」，检查是否为n。</t>
        </is>
      </c>
      <c r="N426" s="8" t="inlineStr">
        <is>
          <t>是否多人底池=n</t>
        </is>
      </c>
      <c r="O426" s="8" t="inlineStr">
        <is>
          <t>hands[].is_multiway_pot</t>
        </is>
      </c>
      <c r="P426" s="10" t="inlineStr">
        <is>
          <t>未执行</t>
        </is>
      </c>
      <c r="Q426" s="10" t="inlineStr"/>
      <c r="R426" s="11" t="inlineStr"/>
    </row>
    <row r="427" ht="72" customHeight="1">
      <c r="A427" s="5" t="inlineStr">
        <is>
          <t>TC-RPT-423</t>
        </is>
      </c>
      <c r="B427" s="5" t="inlineStr">
        <is>
          <t>is_multiway_pot</t>
        </is>
      </c>
      <c r="C427" s="5" t="inlineStr">
        <is>
          <t>是否多人底池</t>
        </is>
      </c>
      <c r="D427" s="13" t="inlineStr">
        <is>
          <t>P1</t>
        </is>
      </c>
      <c r="E427" s="7" t="inlineStr">
        <is>
          <t>等价类划分法</t>
        </is>
      </c>
      <c r="F427" s="7" t="inlineStr">
        <is>
          <t>单手牌</t>
        </is>
      </c>
      <c r="G427" s="7" t="inlineStr">
        <is>
          <t>内部</t>
        </is>
      </c>
      <c r="H427" s="8" t="inlineStr">
        <is>
          <t>是否 3 人及以上进入底池</t>
        </is>
      </c>
      <c r="I427" s="8" t="inlineStr">
        <is>
          <t>进入翻后人数 &gt;= 3</t>
        </is>
      </c>
      <c r="J427" s="8" t="inlineStr">
        <is>
          <t>是否多人底池反例-翻前3人翻牌只剩2人</t>
        </is>
      </c>
      <c r="K427" s="12" t="inlineStr">
        <is>
          <t>反例</t>
        </is>
      </c>
      <c r="L427" s="8" t="inlineStr">
        <is>
          <t>1、已登录，当前用户是 Hero。准备下列不该计入的素材。
2、翻前3人入池，发出翻牌时只剩2人。是否多人底池=否，「是否多人底池」仍=n</t>
        </is>
      </c>
      <c r="M427" s="8" t="inlineStr">
        <is>
          <t>1、上传素材，生成复盘报告，等到能打开。
2、打开「是否多人底池」，检查是否为n。</t>
        </is>
      </c>
      <c r="N427" s="8" t="inlineStr">
        <is>
          <t>是否多人底池=n</t>
        </is>
      </c>
      <c r="O427" s="8" t="inlineStr">
        <is>
          <t>hands[].is_multiway_pot</t>
        </is>
      </c>
      <c r="P427" s="10" t="inlineStr">
        <is>
          <t>未执行</t>
        </is>
      </c>
      <c r="Q427" s="10" t="inlineStr"/>
      <c r="R427" s="11" t="inlineStr"/>
    </row>
    <row r="428" ht="72" customHeight="1">
      <c r="A428" s="5" t="inlineStr">
        <is>
          <t>TC-RPT-424</t>
        </is>
      </c>
      <c r="B428" s="5" t="inlineStr">
        <is>
          <t>is_multiway_pot</t>
        </is>
      </c>
      <c r="C428" s="5" t="inlineStr">
        <is>
          <t>是否多人底池</t>
        </is>
      </c>
      <c r="D428" s="13" t="inlineStr">
        <is>
          <t>P1</t>
        </is>
      </c>
      <c r="E428" s="7" t="inlineStr">
        <is>
          <t>场景设计法</t>
        </is>
      </c>
      <c r="F428" s="7" t="inlineStr">
        <is>
          <t>单手牌</t>
        </is>
      </c>
      <c r="G428" s="7" t="inlineStr">
        <is>
          <t>内部</t>
        </is>
      </c>
      <c r="H428" s="8" t="inlineStr">
        <is>
          <t>是否 3 人及以上进入底池</t>
        </is>
      </c>
      <c r="I428" s="8" t="inlineStr">
        <is>
          <t>进入翻后人数 &gt;= 3</t>
        </is>
      </c>
      <c r="J428" s="8" t="inlineStr">
        <is>
          <t>是否多人底池正例-进入翻后仍有3人</t>
        </is>
      </c>
      <c r="K428" s="9" t="inlineStr">
        <is>
          <t>正例</t>
        </is>
      </c>
      <c r="L428" s="8" t="inlineStr">
        <is>
          <t>1、已登录，当前用户是 Hero。
2、素材含一手：发出翻牌时仍有 3 人。是否多人底池=是</t>
        </is>
      </c>
      <c r="M428" s="8" t="inlineStr">
        <is>
          <t>1、上传素材，生成复盘报告，等到能打开。
2、打开「是否多人底池」，检查是否为是。</t>
        </is>
      </c>
      <c r="N428" s="8" t="inlineStr">
        <is>
          <t>是否多人底池=是</t>
        </is>
      </c>
      <c r="O428" s="8" t="inlineStr">
        <is>
          <t>hands[].is_multiway_pot</t>
        </is>
      </c>
      <c r="P428" s="10" t="inlineStr">
        <is>
          <t>未执行</t>
        </is>
      </c>
      <c r="Q428" s="10" t="inlineStr"/>
      <c r="R428" s="11" t="inlineStr"/>
    </row>
    <row r="429" ht="72" customHeight="1">
      <c r="A429" s="5" t="inlineStr">
        <is>
          <t>TC-RPT-425</t>
        </is>
      </c>
      <c r="B429" s="5" t="inlineStr">
        <is>
          <t>is_multiway_pot</t>
        </is>
      </c>
      <c r="C429" s="5" t="inlineStr">
        <is>
          <t>是否多人底池</t>
        </is>
      </c>
      <c r="D429" s="13" t="inlineStr">
        <is>
          <t>P1</t>
        </is>
      </c>
      <c r="E429" s="7" t="inlineStr">
        <is>
          <t>场景设计法</t>
        </is>
      </c>
      <c r="F429" s="7" t="inlineStr">
        <is>
          <t>单手牌</t>
        </is>
      </c>
      <c r="G429" s="7" t="inlineStr">
        <is>
          <t>内部</t>
        </is>
      </c>
      <c r="H429" s="8" t="inlineStr">
        <is>
          <t>是否 3 人及以上进入底池</t>
        </is>
      </c>
      <c r="I429" s="8" t="inlineStr">
        <is>
          <t>进入翻后人数 &gt;= 3</t>
        </is>
      </c>
      <c r="J429" s="8" t="inlineStr">
        <is>
          <t>是否多人底池反例-翻前3人翻牌只剩2人</t>
        </is>
      </c>
      <c r="K429" s="12" t="inlineStr">
        <is>
          <t>反例</t>
        </is>
      </c>
      <c r="L429" s="8" t="inlineStr">
        <is>
          <t>1、已登录，当前用户是 Hero。
2、素材含一手：翻前 3 人入池，翻牌 只剩 2 人。是否多人底池=否</t>
        </is>
      </c>
      <c r="M429" s="8" t="inlineStr">
        <is>
          <t>1、上传素材，生成复盘报告，等到能打开。
2、打开「是否多人底池」，检查是否为否。</t>
        </is>
      </c>
      <c r="N429" s="8" t="inlineStr">
        <is>
          <t>是否多人底池=否</t>
        </is>
      </c>
      <c r="O429" s="8" t="inlineStr">
        <is>
          <t>hands[].is_multiway_pot</t>
        </is>
      </c>
      <c r="P429" s="10" t="inlineStr">
        <is>
          <t>未执行</t>
        </is>
      </c>
      <c r="Q429" s="10" t="inlineStr"/>
      <c r="R429" s="11" t="inlineStr"/>
    </row>
    <row r="430" ht="72" customHeight="1">
      <c r="A430" s="5" t="inlineStr">
        <is>
          <t>TC-RPT-426</t>
        </is>
      </c>
      <c r="B430" s="5" t="inlineStr">
        <is>
          <t>is_multiway_pot</t>
        </is>
      </c>
      <c r="C430" s="5" t="inlineStr">
        <is>
          <t>是否多人底池</t>
        </is>
      </c>
      <c r="D430" s="13" t="inlineStr">
        <is>
          <t>P1</t>
        </is>
      </c>
      <c r="E430" s="7" t="inlineStr">
        <is>
          <t>错误推断法</t>
        </is>
      </c>
      <c r="F430" s="7" t="inlineStr">
        <is>
          <t>单手牌</t>
        </is>
      </c>
      <c r="G430" s="7" t="inlineStr">
        <is>
          <t>内部</t>
        </is>
      </c>
      <c r="H430" s="8" t="inlineStr">
        <is>
          <t>是否 3 人及以上进入底池</t>
        </is>
      </c>
      <c r="I430" s="8" t="inlineStr">
        <is>
          <t>进入翻后人数 &gt;= 3</t>
        </is>
      </c>
      <c r="J430" s="8" t="inlineStr">
        <is>
          <t>是否多人底池反例-竞争人数不可识别不强行标多人</t>
        </is>
      </c>
      <c r="K430" s="12" t="inlineStr">
        <is>
          <t>反例</t>
        </is>
      </c>
      <c r="L430" s="8" t="inlineStr">
        <is>
          <t>1、已登录，当前用户是 Hero。
2、翻后人数识别失败。是否多人底池应为空或不出现，不能猜3人</t>
        </is>
      </c>
      <c r="M430" s="8" t="inlineStr">
        <is>
          <t>1、上传素材，生成复盘报告，等到能打开。
2、打开「是否多人底池」，检查是否为空或不出现。</t>
        </is>
      </c>
      <c r="N430" s="8" t="inlineStr">
        <is>
          <t>是否多人底池=空或不出现</t>
        </is>
      </c>
      <c r="O430" s="8" t="inlineStr">
        <is>
          <t>hands[].is_multiway_pot</t>
        </is>
      </c>
      <c r="P430" s="10" t="inlineStr">
        <is>
          <t>未执行</t>
        </is>
      </c>
      <c r="Q430" s="10" t="inlineStr"/>
      <c r="R430" s="11" t="inlineStr"/>
    </row>
    <row r="431" ht="72" customHeight="1">
      <c r="A431" s="5" t="inlineStr">
        <is>
          <t>TC-RPT-427</t>
        </is>
      </c>
      <c r="B431" s="5" t="inlineStr">
        <is>
          <t>is_big_pot</t>
        </is>
      </c>
      <c r="C431" s="5" t="inlineStr">
        <is>
          <t>是否大底池</t>
        </is>
      </c>
      <c r="D431" s="13" t="inlineStr">
        <is>
          <t>P1</t>
        </is>
      </c>
      <c r="E431" s="7" t="inlineStr">
        <is>
          <t>等价类划分法</t>
        </is>
      </c>
      <c r="F431" s="7" t="inlineStr">
        <is>
          <t>单手牌</t>
        </is>
      </c>
      <c r="G431" s="7" t="inlineStr">
        <is>
          <t>内部</t>
        </is>
      </c>
      <c r="H431" s="8" t="inlineStr">
        <is>
          <t>该手牌底池是否达到大底池阈值</t>
        </is>
      </c>
      <c r="I431" s="8" t="inlineStr">
        <is>
          <t>最大底池 &gt;= 预设阈值， 50BB</t>
        </is>
      </c>
      <c r="J431" s="8" t="inlineStr">
        <is>
          <t>是否大底池正例-最大底池达50BB或以上</t>
        </is>
      </c>
      <c r="K431" s="9" t="inlineStr">
        <is>
          <t>正例</t>
        </is>
      </c>
      <c r="L431" s="8" t="inlineStr">
        <is>
          <t>1、已登录，当前用户是 Hero。只用正例场。
2、素材里「是否大底池」应对的值=n</t>
        </is>
      </c>
      <c r="M431" s="8" t="inlineStr">
        <is>
          <t>1、上传素材，生成复盘报告，等到能打开。
2、打开「是否大底池」，检查是否为n。</t>
        </is>
      </c>
      <c r="N431" s="8" t="inlineStr">
        <is>
          <t>是否大底池=n</t>
        </is>
      </c>
      <c r="O431" s="8" t="inlineStr">
        <is>
          <t>hands[].is_big_pot</t>
        </is>
      </c>
      <c r="P431" s="10" t="inlineStr">
        <is>
          <t>未执行</t>
        </is>
      </c>
      <c r="Q431" s="10" t="inlineStr"/>
      <c r="R431" s="11" t="inlineStr"/>
    </row>
    <row r="432" ht="72" customHeight="1">
      <c r="A432" s="5" t="inlineStr">
        <is>
          <t>TC-RPT-428</t>
        </is>
      </c>
      <c r="B432" s="5" t="inlineStr">
        <is>
          <t>is_big_pot</t>
        </is>
      </c>
      <c r="C432" s="5" t="inlineStr">
        <is>
          <t>是否大底池</t>
        </is>
      </c>
      <c r="D432" s="13" t="inlineStr">
        <is>
          <t>P1</t>
        </is>
      </c>
      <c r="E432" s="7" t="inlineStr">
        <is>
          <t>等价类划分法</t>
        </is>
      </c>
      <c r="F432" s="7" t="inlineStr">
        <is>
          <t>单手牌</t>
        </is>
      </c>
      <c r="G432" s="7" t="inlineStr">
        <is>
          <t>内部</t>
        </is>
      </c>
      <c r="H432" s="8" t="inlineStr">
        <is>
          <t>该手牌底池是否达到大底池阈值</t>
        </is>
      </c>
      <c r="I432" s="8" t="inlineStr">
        <is>
          <t>最大底池 &gt;= 预设阈值， 50BB</t>
        </is>
      </c>
      <c r="J432" s="8" t="inlineStr">
        <is>
          <t>是否大底池反例-49BB或50筹码当50BB</t>
        </is>
      </c>
      <c r="K432" s="12" t="inlineStr">
        <is>
          <t>反例</t>
        </is>
      </c>
      <c r="L432" s="8" t="inlineStr">
        <is>
          <t>1、已登录，当前用户是 Hero。准备下列不该计入的素材。
2、最大底池49BB；或大盲100底池50筹码（0.5BB）。是否大底池=否，「是否大底池」仍=n</t>
        </is>
      </c>
      <c r="M432" s="8" t="inlineStr">
        <is>
          <t>1、上传素材，生成复盘报告，等到能打开。
2、打开「是否大底池」，检查是否为n。</t>
        </is>
      </c>
      <c r="N432" s="8" t="inlineStr">
        <is>
          <t>是否大底池=n</t>
        </is>
      </c>
      <c r="O432" s="8" t="inlineStr">
        <is>
          <t>hands[].is_big_pot</t>
        </is>
      </c>
      <c r="P432" s="10" t="inlineStr">
        <is>
          <t>未执行</t>
        </is>
      </c>
      <c r="Q432" s="10" t="inlineStr"/>
      <c r="R432" s="11" t="inlineStr"/>
    </row>
    <row r="433" ht="72" customHeight="1">
      <c r="A433" s="5" t="inlineStr">
        <is>
          <t>TC-RPT-429</t>
        </is>
      </c>
      <c r="B433" s="5" t="inlineStr">
        <is>
          <t>is_big_pot</t>
        </is>
      </c>
      <c r="C433" s="5" t="inlineStr">
        <is>
          <t>是否大底池</t>
        </is>
      </c>
      <c r="D433" s="13" t="inlineStr">
        <is>
          <t>P1</t>
        </is>
      </c>
      <c r="E433" s="7" t="inlineStr">
        <is>
          <t>边界值分析法</t>
        </is>
      </c>
      <c r="F433" s="7" t="inlineStr">
        <is>
          <t>单手牌</t>
        </is>
      </c>
      <c r="G433" s="7" t="inlineStr">
        <is>
          <t>内部</t>
        </is>
      </c>
      <c r="H433" s="8" t="inlineStr">
        <is>
          <t>该手牌底池是否达到大底池阈值</t>
        </is>
      </c>
      <c r="I433" s="8" t="inlineStr">
        <is>
          <t>最大底池 &gt;= 预设阈值， 50BB</t>
        </is>
      </c>
      <c r="J433" s="8" t="inlineStr">
        <is>
          <t>是否大底池正例-刚好50BB与80BB</t>
        </is>
      </c>
      <c r="K433" s="9" t="inlineStr">
        <is>
          <t>正例</t>
        </is>
      </c>
      <c r="L433" s="8" t="inlineStr">
        <is>
          <t>1、已登录，当前用户是 Hero。
2、素材含两手：最大底池=50BB、80BB（按该手大盲换算）。是否大底池=是</t>
        </is>
      </c>
      <c r="M433" s="8" t="inlineStr">
        <is>
          <t>1、上传素材，生成复盘报告，等到能打开。
2、打开「是否大底池」，检查是否为是。</t>
        </is>
      </c>
      <c r="N433" s="8" t="inlineStr">
        <is>
          <t>是否大底池=是</t>
        </is>
      </c>
      <c r="O433" s="8" t="inlineStr">
        <is>
          <t>hands[].is_big_pot</t>
        </is>
      </c>
      <c r="P433" s="10" t="inlineStr">
        <is>
          <t>未执行</t>
        </is>
      </c>
      <c r="Q433" s="10" t="inlineStr"/>
      <c r="R433" s="11" t="inlineStr"/>
    </row>
    <row r="434" ht="72" customHeight="1">
      <c r="A434" s="5" t="inlineStr">
        <is>
          <t>TC-RPT-430</t>
        </is>
      </c>
      <c r="B434" s="5" t="inlineStr">
        <is>
          <t>is_big_pot</t>
        </is>
      </c>
      <c r="C434" s="5" t="inlineStr">
        <is>
          <t>是否大底池</t>
        </is>
      </c>
      <c r="D434" s="13" t="inlineStr">
        <is>
          <t>P1</t>
        </is>
      </c>
      <c r="E434" s="7" t="inlineStr">
        <is>
          <t>边界值分析法</t>
        </is>
      </c>
      <c r="F434" s="7" t="inlineStr">
        <is>
          <t>单手牌</t>
        </is>
      </c>
      <c r="G434" s="7" t="inlineStr">
        <is>
          <t>内部</t>
        </is>
      </c>
      <c r="H434" s="8" t="inlineStr">
        <is>
          <t>该手牌底池是否达到大底池阈值</t>
        </is>
      </c>
      <c r="I434" s="8" t="inlineStr">
        <is>
          <t>最大底池 &gt;= 预设阈值， 50BB</t>
        </is>
      </c>
      <c r="J434" s="8" t="inlineStr">
        <is>
          <t>是否大底池反例-49BB或误把50筹码当50个大盲</t>
        </is>
      </c>
      <c r="K434" s="12" t="inlineStr">
        <is>
          <t>反例</t>
        </is>
      </c>
      <c r="L434" s="8" t="inlineStr">
        <is>
          <t>1、已登录，当前用户是 Hero。
2、素材含两手：最大底池=49BB；大盲=100、底池=50筹码（0.5BB）。是否大底池=否</t>
        </is>
      </c>
      <c r="M434" s="8" t="inlineStr">
        <is>
          <t>1、上传素材，生成复盘报告，等到能打开。
2、打开「是否大底池」，检查是否为否。</t>
        </is>
      </c>
      <c r="N434" s="8" t="inlineStr">
        <is>
          <t>是否大底池=否</t>
        </is>
      </c>
      <c r="O434" s="8" t="inlineStr">
        <is>
          <t>hands[].is_big_pot</t>
        </is>
      </c>
      <c r="P434" s="10" t="inlineStr">
        <is>
          <t>未执行</t>
        </is>
      </c>
      <c r="Q434" s="10" t="inlineStr"/>
      <c r="R434" s="11" t="inlineStr"/>
    </row>
    <row r="435" ht="72" customHeight="1">
      <c r="A435" s="5" t="inlineStr">
        <is>
          <t>TC-RPT-431</t>
        </is>
      </c>
      <c r="B435" s="5" t="inlineStr">
        <is>
          <t>is_all_in_or_near_all_in</t>
        </is>
      </c>
      <c r="C435" s="5" t="inlineStr">
        <is>
          <t>是否 All-in 或接近 All-in</t>
        </is>
      </c>
      <c r="D435" s="13" t="inlineStr">
        <is>
          <t>P1</t>
        </is>
      </c>
      <c r="E435" s="7" t="inlineStr">
        <is>
          <t>等价类划分法</t>
        </is>
      </c>
      <c r="F435" s="7" t="inlineStr">
        <is>
          <t>单手牌</t>
        </is>
      </c>
      <c r="G435" s="7" t="inlineStr">
        <is>
          <t>内部</t>
        </is>
      </c>
      <c r="H435" s="8" t="inlineStr">
        <is>
          <t>是否投入全部或大部分有效筹码</t>
        </is>
      </c>
      <c r="I435" s="8" t="inlineStr">
        <is>
          <t>存在 all-in，或投入额 &gt;= 有效筹码 70%</t>
        </is>
      </c>
      <c r="J435" s="8" t="inlineStr">
        <is>
          <t>是否 All-in 或接近 All-in正例-全下或投入达有效筹码70%</t>
        </is>
      </c>
      <c r="K435" s="9" t="inlineStr">
        <is>
          <t>正例</t>
        </is>
      </c>
      <c r="L435" s="8" t="inlineStr">
        <is>
          <t>1、已登录，当前用户是 Hero。只用正例场。
2、素材里「是否 All-in 或接近 All-in」应对的值=n</t>
        </is>
      </c>
      <c r="M435" s="8" t="inlineStr">
        <is>
          <t>1、上传素材，生成复盘报告，等到能打开。
2、打开「是否 All-in 或接近 All-in」，检查是否为n。</t>
        </is>
      </c>
      <c r="N435" s="8" t="inlineStr">
        <is>
          <t>是否 All-in 或接近 All-in=n</t>
        </is>
      </c>
      <c r="O435" s="8" t="inlineStr">
        <is>
          <t>hands[].is_all_in_or_near_all_in</t>
        </is>
      </c>
      <c r="P435" s="10" t="inlineStr">
        <is>
          <t>未执行</t>
        </is>
      </c>
      <c r="Q435" s="10" t="inlineStr"/>
      <c r="R435" s="11" t="inlineStr"/>
    </row>
    <row r="436" ht="72" customHeight="1">
      <c r="A436" s="5" t="inlineStr">
        <is>
          <t>TC-RPT-432</t>
        </is>
      </c>
      <c r="B436" s="5" t="inlineStr">
        <is>
          <t>is_all_in_or_near_all_in</t>
        </is>
      </c>
      <c r="C436" s="5" t="inlineStr">
        <is>
          <t>是否 All-in 或接近 All-in</t>
        </is>
      </c>
      <c r="D436" s="13" t="inlineStr">
        <is>
          <t>P1</t>
        </is>
      </c>
      <c r="E436" s="7" t="inlineStr">
        <is>
          <t>等价类划分法</t>
        </is>
      </c>
      <c r="F436" s="7" t="inlineStr">
        <is>
          <t>单手牌</t>
        </is>
      </c>
      <c r="G436" s="7" t="inlineStr">
        <is>
          <t>内部</t>
        </is>
      </c>
      <c r="H436" s="8" t="inlineStr">
        <is>
          <t>是否投入全部或大部分有效筹码</t>
        </is>
      </c>
      <c r="I436" s="8" t="inlineStr">
        <is>
          <t>存在 all-in，或投入额 &gt;= 有效筹码 70%</t>
        </is>
      </c>
      <c r="J436" s="8" t="inlineStr">
        <is>
          <t>是否 All-in 或接近 All-in反例-投入69%标全下</t>
        </is>
      </c>
      <c r="K436" s="12" t="inlineStr">
        <is>
          <t>反例</t>
        </is>
      </c>
      <c r="L436" s="8" t="inlineStr">
        <is>
          <t>1、已登录，当前用户是 Hero。准备下列不该计入的素材。
2、Hero普通下注投入约50%～69%，无全下。是否全下=否，「是否 All-in 或接近 All-in」仍=n</t>
        </is>
      </c>
      <c r="M436" s="8" t="inlineStr">
        <is>
          <t>1、上传素材，生成复盘报告，等到能打开。
2、打开「是否 All-in 或接近 All-in」，检查是否为n。</t>
        </is>
      </c>
      <c r="N436" s="8" t="inlineStr">
        <is>
          <t>是否 All-in 或接近 All-in=n</t>
        </is>
      </c>
      <c r="O436" s="8" t="inlineStr">
        <is>
          <t>hands[].is_all_in_or_near_all_in</t>
        </is>
      </c>
      <c r="P436" s="10" t="inlineStr">
        <is>
          <t>未执行</t>
        </is>
      </c>
      <c r="Q436" s="10" t="inlineStr"/>
      <c r="R436" s="11" t="inlineStr"/>
    </row>
    <row r="437" ht="72" customHeight="1">
      <c r="A437" s="5" t="inlineStr">
        <is>
          <t>TC-RPT-433</t>
        </is>
      </c>
      <c r="B437" s="5" t="inlineStr">
        <is>
          <t>is_all_in_or_near_all_in</t>
        </is>
      </c>
      <c r="C437" s="5" t="inlineStr">
        <is>
          <t>是否 All-in 或接近 All-in</t>
        </is>
      </c>
      <c r="D437" s="13" t="inlineStr">
        <is>
          <t>P1</t>
        </is>
      </c>
      <c r="E437" s="7" t="inlineStr">
        <is>
          <t>场景设计法</t>
        </is>
      </c>
      <c r="F437" s="7" t="inlineStr">
        <is>
          <t>单手牌</t>
        </is>
      </c>
      <c r="G437" s="7" t="inlineStr">
        <is>
          <t>内部</t>
        </is>
      </c>
      <c r="H437" s="8" t="inlineStr">
        <is>
          <t>是否投入全部或大部分有效筹码</t>
        </is>
      </c>
      <c r="I437" s="8" t="inlineStr">
        <is>
          <t>存在 all-in，或投入额 &gt;= 有效筹码 70%</t>
        </is>
      </c>
      <c r="J437" s="8" t="inlineStr">
        <is>
          <t>是否全下正例-翻前全下</t>
        </is>
      </c>
      <c r="K437" s="9" t="inlineStr">
        <is>
          <t>正例</t>
        </is>
      </c>
      <c r="L437" s="8" t="inlineStr">
        <is>
          <t>1、已登录，当前用户是 Hero。
2、素材含一手：Hero 翻前全下。该手是否 全下=是</t>
        </is>
      </c>
      <c r="M437" s="8" t="inlineStr">
        <is>
          <t>1、上传素材，生成复盘报告，等到能打开。
2、打开「是否全下或接近全下」，检查是否为是。</t>
        </is>
      </c>
      <c r="N437" s="8" t="inlineStr">
        <is>
          <t>是否全下或接近全下=是</t>
        </is>
      </c>
      <c r="O437" s="8" t="inlineStr">
        <is>
          <t>hands[].is_all_in_or_near_all_in</t>
        </is>
      </c>
      <c r="P437" s="10" t="inlineStr">
        <is>
          <t>未执行</t>
        </is>
      </c>
      <c r="Q437" s="10" t="inlineStr"/>
      <c r="R437" s="11" t="inlineStr"/>
    </row>
    <row r="438" ht="72" customHeight="1">
      <c r="A438" s="5" t="inlineStr">
        <is>
          <t>TC-RPT-434</t>
        </is>
      </c>
      <c r="B438" s="5" t="inlineStr">
        <is>
          <t>is_all_in_or_near_all_in</t>
        </is>
      </c>
      <c r="C438" s="5" t="inlineStr">
        <is>
          <t>是否 All-in 或接近 All-in</t>
        </is>
      </c>
      <c r="D438" s="13" t="inlineStr">
        <is>
          <t>P1</t>
        </is>
      </c>
      <c r="E438" s="7" t="inlineStr">
        <is>
          <t>场景设计法</t>
        </is>
      </c>
      <c r="F438" s="7" t="inlineStr">
        <is>
          <t>单手牌</t>
        </is>
      </c>
      <c r="G438" s="7" t="inlineStr">
        <is>
          <t>内部</t>
        </is>
      </c>
      <c r="H438" s="8" t="inlineStr">
        <is>
          <t>是否投入全部或大部分有效筹码</t>
        </is>
      </c>
      <c r="I438" s="8" t="inlineStr">
        <is>
          <t>存在 all-in，或投入额 &gt;= 有效筹码 70%</t>
        </is>
      </c>
      <c r="J438" s="8" t="inlineStr">
        <is>
          <t>是否全下正例-翻牌或转牌全下</t>
        </is>
      </c>
      <c r="K438" s="9" t="inlineStr">
        <is>
          <t>正例</t>
        </is>
      </c>
      <c r="L438" s="8" t="inlineStr">
        <is>
          <t>1、已登录，当前用户是 Hero。
2、素材含两手：翻牌全下、转牌全下。两手是否 全下=是</t>
        </is>
      </c>
      <c r="M438" s="8" t="inlineStr">
        <is>
          <t>1、上传素材，生成复盘报告，等到能打开。
2、打开「是否全下或接近全下」，检查是否为是。</t>
        </is>
      </c>
      <c r="N438" s="8" t="inlineStr">
        <is>
          <t>是否全下或接近全下=是</t>
        </is>
      </c>
      <c r="O438" s="8" t="inlineStr">
        <is>
          <t>hands[].is_all_in_or_near_all_in</t>
        </is>
      </c>
      <c r="P438" s="10" t="inlineStr">
        <is>
          <t>未执行</t>
        </is>
      </c>
      <c r="Q438" s="10" t="inlineStr"/>
      <c r="R438" s="11" t="inlineStr"/>
    </row>
    <row r="439" ht="72" customHeight="1">
      <c r="A439" s="5" t="inlineStr">
        <is>
          <t>TC-RPT-435</t>
        </is>
      </c>
      <c r="B439" s="5" t="inlineStr">
        <is>
          <t>is_all_in_or_near_all_in</t>
        </is>
      </c>
      <c r="C439" s="5" t="inlineStr">
        <is>
          <t>是否 All-in 或接近 All-in</t>
        </is>
      </c>
      <c r="D439" s="13" t="inlineStr">
        <is>
          <t>P1</t>
        </is>
      </c>
      <c r="E439" s="7" t="inlineStr">
        <is>
          <t>边界值分析法</t>
        </is>
      </c>
      <c r="F439" s="7" t="inlineStr">
        <is>
          <t>单手牌</t>
        </is>
      </c>
      <c r="G439" s="7" t="inlineStr">
        <is>
          <t>内部</t>
        </is>
      </c>
      <c r="H439" s="8" t="inlineStr">
        <is>
          <t>是否投入全部或大部分有效筹码</t>
        </is>
      </c>
      <c r="I439" s="8" t="inlineStr">
        <is>
          <t>存在 all-in，或投入额 &gt;= 有效筹码 70%</t>
        </is>
      </c>
      <c r="J439" s="8" t="inlineStr">
        <is>
          <t>是否全下正例-河牌全下或投入达有效筹码70%</t>
        </is>
      </c>
      <c r="K439" s="9" t="inlineStr">
        <is>
          <t>正例</t>
        </is>
      </c>
      <c r="L439" s="8" t="inlineStr">
        <is>
          <t>1、已登录，当前用户是 Hero。
2、素材含两手：河牌全下；河牌投入=有效筹码70%。两手是否 全下=是</t>
        </is>
      </c>
      <c r="M439" s="8" t="inlineStr">
        <is>
          <t>1、上传素材，生成复盘报告，等到能打开。
2、打开「是否全下或接近全下」，检查是否为是。</t>
        </is>
      </c>
      <c r="N439" s="8" t="inlineStr">
        <is>
          <t>是否全下或接近全下=是</t>
        </is>
      </c>
      <c r="O439" s="8" t="inlineStr">
        <is>
          <t>hands[].is_all_in_or_near_all_in</t>
        </is>
      </c>
      <c r="P439" s="10" t="inlineStr">
        <is>
          <t>未执行</t>
        </is>
      </c>
      <c r="Q439" s="10" t="inlineStr"/>
      <c r="R439" s="11" t="inlineStr"/>
    </row>
    <row r="440" ht="72" customHeight="1">
      <c r="A440" s="5" t="inlineStr">
        <is>
          <t>TC-RPT-436</t>
        </is>
      </c>
      <c r="B440" s="5" t="inlineStr">
        <is>
          <t>is_all_in_or_near_all_in</t>
        </is>
      </c>
      <c r="C440" s="5" t="inlineStr">
        <is>
          <t>是否 All-in 或接近 All-in</t>
        </is>
      </c>
      <c r="D440" s="13" t="inlineStr">
        <is>
          <t>P1</t>
        </is>
      </c>
      <c r="E440" s="7" t="inlineStr">
        <is>
          <t>边界值分析法</t>
        </is>
      </c>
      <c r="F440" s="7" t="inlineStr">
        <is>
          <t>单手牌</t>
        </is>
      </c>
      <c r="G440" s="7" t="inlineStr">
        <is>
          <t>内部</t>
        </is>
      </c>
      <c r="H440" s="8" t="inlineStr">
        <is>
          <t>是否投入全部或大部分有效筹码</t>
        </is>
      </c>
      <c r="I440" s="8" t="inlineStr">
        <is>
          <t>存在 all-in，或投入额 &gt;= 有效筹码 70%</t>
        </is>
      </c>
      <c r="J440" s="8" t="inlineStr">
        <is>
          <t>是否全下反例-任意街投入约50%且无全下</t>
        </is>
      </c>
      <c r="K440" s="12" t="inlineStr">
        <is>
          <t>反例</t>
        </is>
      </c>
      <c r="L440" s="8" t="inlineStr">
        <is>
          <t>1、已登录，当前用户是 Hero。
2、素材含普通下注手（投入约50%，含 69%），无全下。是否 全下=否</t>
        </is>
      </c>
      <c r="M440" s="8" t="inlineStr">
        <is>
          <t>1、上传素材，生成复盘报告，等到能打开。
2、打开「是否全下或接近全下」，检查是否为否。</t>
        </is>
      </c>
      <c r="N440" s="8" t="inlineStr">
        <is>
          <t>是否全下或接近全下=否</t>
        </is>
      </c>
      <c r="O440" s="8" t="inlineStr">
        <is>
          <t>hands[].is_all_in_or_near_all_in</t>
        </is>
      </c>
      <c r="P440" s="10" t="inlineStr">
        <is>
          <t>未执行</t>
        </is>
      </c>
      <c r="Q440" s="10" t="inlineStr"/>
      <c r="R440" s="11" t="inlineStr"/>
    </row>
    <row r="441" ht="72" customHeight="1">
      <c r="A441" s="5" t="inlineStr">
        <is>
          <t>TC-RPT-437</t>
        </is>
      </c>
      <c r="B441" s="5" t="inlineStr">
        <is>
          <t>main_opponent</t>
        </is>
      </c>
      <c r="C441" s="5" t="inlineStr">
        <is>
          <t>主要对手</t>
        </is>
      </c>
      <c r="D441" s="13" t="inlineStr">
        <is>
          <t>P1</t>
        </is>
      </c>
      <c r="E441" s="7" t="inlineStr">
        <is>
          <t>等价类划分法</t>
        </is>
      </c>
      <c r="F441" s="7" t="inlineStr">
        <is>
          <t>单手牌</t>
        </is>
      </c>
      <c r="G441" s="7" t="inlineStr">
        <is>
          <t>是</t>
        </is>
      </c>
      <c r="H441" s="8" t="inlineStr">
        <is>
          <t>本手牌与 Hero 对抗最关键的对手</t>
        </is>
      </c>
      <c r="I441" s="8" t="inlineStr">
        <is>
          <t>优先选择最终进入摊牌或最大投入的对手</t>
        </is>
      </c>
      <c r="J441" s="8" t="inlineStr">
        <is>
          <t>主要对手正例-摊牌对手或最大投入对手</t>
        </is>
      </c>
      <c r="K441" s="9" t="inlineStr">
        <is>
          <t>正例</t>
        </is>
      </c>
      <c r="L441" s="8" t="inlineStr">
        <is>
          <t>1、已登录，当前用户是 Hero。只用正例场。
2、素材里「主要对手」应对的值=n</t>
        </is>
      </c>
      <c r="M441" s="8" t="inlineStr">
        <is>
          <t>1、上传素材，生成复盘报告，等到能打开。
2、打开「主要对手」，检查是否为n。</t>
        </is>
      </c>
      <c r="N441" s="8" t="inlineStr">
        <is>
          <t>主要对手=n</t>
        </is>
      </c>
      <c r="O441" s="8" t="inlineStr">
        <is>
          <t>hands[].main_opponent</t>
        </is>
      </c>
      <c r="P441" s="10" t="inlineStr">
        <is>
          <t>未执行</t>
        </is>
      </c>
      <c r="Q441" s="10" t="inlineStr"/>
      <c r="R441" s="11" t="inlineStr"/>
    </row>
    <row r="442" ht="72" customHeight="1">
      <c r="A442" s="5" t="inlineStr">
        <is>
          <t>TC-RPT-438</t>
        </is>
      </c>
      <c r="B442" s="5" t="inlineStr">
        <is>
          <t>main_opponent</t>
        </is>
      </c>
      <c r="C442" s="5" t="inlineStr">
        <is>
          <t>主要对手</t>
        </is>
      </c>
      <c r="D442" s="13" t="inlineStr">
        <is>
          <t>P1</t>
        </is>
      </c>
      <c r="E442" s="7" t="inlineStr">
        <is>
          <t>等价类划分法</t>
        </is>
      </c>
      <c r="F442" s="7" t="inlineStr">
        <is>
          <t>单手牌</t>
        </is>
      </c>
      <c r="G442" s="7" t="inlineStr">
        <is>
          <t>是</t>
        </is>
      </c>
      <c r="H442" s="8" t="inlineStr">
        <is>
          <t>本手牌与 Hero 对抗最关键的对手</t>
        </is>
      </c>
      <c r="I442" s="8" t="inlineStr">
        <is>
          <t>优先选择最终进入摊牌或最大投入的对手</t>
        </is>
      </c>
      <c r="J442" s="8" t="inlineStr">
        <is>
          <t>主要对手反例-已弃牌者当主要对手</t>
        </is>
      </c>
      <c r="K442" s="12" t="inlineStr">
        <is>
          <t>反例</t>
        </is>
      </c>
      <c r="L442" s="8" t="inlineStr">
        <is>
          <t>1、已登录，当前用户是 Hero。准备下列不该计入的素材。
2、中途大投入者已弃，最终摊牌的是另一人。主要对手应取摊牌者，「主要对手」仍=n</t>
        </is>
      </c>
      <c r="M442" s="8" t="inlineStr">
        <is>
          <t>1、上传素材，生成复盘报告，等到能打开。
2、打开「主要对手」，检查是否为n。</t>
        </is>
      </c>
      <c r="N442" s="8" t="inlineStr">
        <is>
          <t>主要对手=n</t>
        </is>
      </c>
      <c r="O442" s="8" t="inlineStr">
        <is>
          <t>hands[].main_opponent</t>
        </is>
      </c>
      <c r="P442" s="10" t="inlineStr">
        <is>
          <t>未执行</t>
        </is>
      </c>
      <c r="Q442" s="10" t="inlineStr"/>
      <c r="R442" s="11" t="inlineStr"/>
    </row>
    <row r="443" ht="72" customHeight="1">
      <c r="A443" s="5" t="inlineStr">
        <is>
          <t>TC-RPT-439</t>
        </is>
      </c>
      <c r="B443" s="5" t="inlineStr">
        <is>
          <t>main_opponent</t>
        </is>
      </c>
      <c r="C443" s="5" t="inlineStr">
        <is>
          <t>主要对手</t>
        </is>
      </c>
      <c r="D443" s="13" t="inlineStr">
        <is>
          <t>P1</t>
        </is>
      </c>
      <c r="E443" s="7" t="inlineStr">
        <is>
          <t>场景设计法</t>
        </is>
      </c>
      <c r="F443" s="7" t="inlineStr">
        <is>
          <t>单手牌</t>
        </is>
      </c>
      <c r="G443" s="7" t="inlineStr">
        <is>
          <t>是</t>
        </is>
      </c>
      <c r="H443" s="8" t="inlineStr">
        <is>
          <t>本手牌与 Hero 对抗最关键的对手</t>
        </is>
      </c>
      <c r="I443" s="8" t="inlineStr">
        <is>
          <t>优先选择最终进入摊牌或最大投入的对手</t>
        </is>
      </c>
      <c r="J443" s="8" t="inlineStr">
        <is>
          <t>主要对手正例-提前摊牌对手优先于中途最大投入</t>
        </is>
      </c>
      <c r="K443" s="9" t="inlineStr">
        <is>
          <t>正例</t>
        </is>
      </c>
      <c r="L443" s="8" t="inlineStr">
        <is>
          <t>1、已登录，当前用户是 Hero。
2、素材含一手：甲中途大投入后弃牌，乙最终摊牌。主要对手=乙</t>
        </is>
      </c>
      <c r="M443" s="8" t="inlineStr">
        <is>
          <t>1、上传素材，生成复盘报告，等到能打开。
2、打开「主要对手」，检查是否为乙。</t>
        </is>
      </c>
      <c r="N443" s="8" t="inlineStr">
        <is>
          <t>主要对手=乙</t>
        </is>
      </c>
      <c r="O443" s="8" t="inlineStr">
        <is>
          <t>hands[].main_opponent</t>
        </is>
      </c>
      <c r="P443" s="10" t="inlineStr">
        <is>
          <t>未执行</t>
        </is>
      </c>
      <c r="Q443" s="10" t="inlineStr"/>
      <c r="R443" s="11" t="inlineStr"/>
    </row>
    <row r="444" ht="72" customHeight="1">
      <c r="A444" s="5" t="inlineStr">
        <is>
          <t>TC-RPT-440</t>
        </is>
      </c>
      <c r="B444" s="5" t="inlineStr">
        <is>
          <t>hand_order_sequence</t>
        </is>
      </c>
      <c r="C444" s="5" t="inlineStr">
        <is>
          <t>手牌时间顺序</t>
        </is>
      </c>
      <c r="D444" s="13" t="inlineStr">
        <is>
          <t>P1</t>
        </is>
      </c>
      <c r="E444" s="7" t="inlineStr">
        <is>
          <t>等价类划分法</t>
        </is>
      </c>
      <c r="F444" s="7" t="inlineStr">
        <is>
          <t>心态波动</t>
        </is>
      </c>
      <c r="G444" s="7" t="inlineStr">
        <is>
          <t>内部</t>
        </is>
      </c>
      <c r="H444" s="8" t="inlineStr">
        <is>
          <t>按时间排序后的手牌序列</t>
        </is>
      </c>
      <c r="I444" s="8" t="inlineStr">
        <is>
          <t>按 hand_index 或 video_timestamp 排序</t>
        </is>
      </c>
      <c r="J444" s="8" t="inlineStr">
        <is>
          <t>手牌时间顺序正例-整场手牌时间顺序</t>
        </is>
      </c>
      <c r="K444" s="9" t="inlineStr">
        <is>
          <t>正例</t>
        </is>
      </c>
      <c r="L444" s="8" t="inlineStr">
        <is>
          <t>1、已登录，当前用户是 Hero。只用正例场。
2、素材里「手牌时间顺序」应对的值=n</t>
        </is>
      </c>
      <c r="M444" s="8" t="inlineStr">
        <is>
          <t>1、上传素材，生成复盘报告，等到能打开。
2、打开「手牌时间顺序」，检查是否为n。</t>
        </is>
      </c>
      <c r="N444" s="8" t="inlineStr">
        <is>
          <t>手牌时间顺序=n</t>
        </is>
      </c>
      <c r="O444" s="8" t="inlineStr">
        <is>
          <t>timeline_stats.hand_order_sequence</t>
        </is>
      </c>
      <c r="P444" s="10" t="inlineStr">
        <is>
          <t>未执行</t>
        </is>
      </c>
      <c r="Q444" s="10" t="inlineStr"/>
      <c r="R444" s="11" t="inlineStr"/>
    </row>
    <row r="445" ht="72" customHeight="1">
      <c r="A445" s="5" t="inlineStr">
        <is>
          <t>TC-RPT-441</t>
        </is>
      </c>
      <c r="B445" s="5" t="inlineStr">
        <is>
          <t>hand_order_sequence</t>
        </is>
      </c>
      <c r="C445" s="5" t="inlineStr">
        <is>
          <t>手牌时间顺序</t>
        </is>
      </c>
      <c r="D445" s="13" t="inlineStr">
        <is>
          <t>P1</t>
        </is>
      </c>
      <c r="E445" s="7" t="inlineStr">
        <is>
          <t>等价类划分法</t>
        </is>
      </c>
      <c r="F445" s="7" t="inlineStr">
        <is>
          <t>心态波动</t>
        </is>
      </c>
      <c r="G445" s="7" t="inlineStr">
        <is>
          <t>内部</t>
        </is>
      </c>
      <c r="H445" s="8" t="inlineStr">
        <is>
          <t>按时间排序后的手牌序列</t>
        </is>
      </c>
      <c r="I445" s="8" t="inlineStr">
        <is>
          <t>按 hand_index 或 video_timestamp 排序</t>
        </is>
      </c>
      <c r="J445" s="8" t="inlineStr">
        <is>
          <t>手牌时间顺序反例-另一场手插进顺序</t>
        </is>
      </c>
      <c r="K445" s="12" t="inlineStr">
        <is>
          <t>反例</t>
        </is>
      </c>
      <c r="L445" s="8" t="inlineStr">
        <is>
          <t>1、已登录，当前用户是 Hero。准备下列不该计入的素材。
2、另一场手插进顺序，「手牌时间顺序」仍=n</t>
        </is>
      </c>
      <c r="M445" s="8" t="inlineStr">
        <is>
          <t>1、上传素材，生成复盘报告，等到能打开。
2、打开「手牌时间顺序」，检查是否为n。</t>
        </is>
      </c>
      <c r="N445" s="8" t="inlineStr">
        <is>
          <t>手牌时间顺序=n</t>
        </is>
      </c>
      <c r="O445" s="8" t="inlineStr">
        <is>
          <t>timeline_stats.hand_order_sequence</t>
        </is>
      </c>
      <c r="P445" s="10" t="inlineStr">
        <is>
          <t>未执行</t>
        </is>
      </c>
      <c r="Q445" s="10" t="inlineStr"/>
      <c r="R445" s="11" t="inlineStr"/>
    </row>
    <row r="446" ht="72" customHeight="1">
      <c r="A446" s="5" t="inlineStr">
        <is>
          <t>TC-RPT-442</t>
        </is>
      </c>
      <c r="B446" s="5" t="inlineStr">
        <is>
          <t>segment_vpip_rate</t>
        </is>
      </c>
      <c r="C446" s="5" t="inlineStr">
        <is>
          <t>分段入池率</t>
        </is>
      </c>
      <c r="D446" s="13" t="inlineStr">
        <is>
          <t>P1</t>
        </is>
      </c>
      <c r="E446" s="7" t="inlineStr">
        <is>
          <t>等价类划分法</t>
        </is>
      </c>
      <c r="F446" s="7" t="inlineStr">
        <is>
          <t>心态波动</t>
        </is>
      </c>
      <c r="G446" s="7" t="inlineStr">
        <is>
          <t>内部</t>
        </is>
      </c>
      <c r="H446" s="8" t="inlineStr">
        <is>
          <t>前段 / 中段 / 后段入池频率</t>
        </is>
      </c>
      <c r="I446" s="8" t="inlineStr">
        <is>
          <t>按 Session 切分区间后计算 VPIP</t>
        </is>
      </c>
      <c r="J446" s="8" t="inlineStr">
        <is>
          <t>分段入池率正例-前中后段各主动参与率</t>
        </is>
      </c>
      <c r="K446" s="9" t="inlineStr">
        <is>
          <t>正例</t>
        </is>
      </c>
      <c r="L446" s="8" t="inlineStr">
        <is>
          <t>1、已登录，当前用户是 Hero。只用正例场。
2、素材里分子次数=a，分母次数=b，「分段入池率」应对=a/b</t>
        </is>
      </c>
      <c r="M446" s="8" t="inlineStr">
        <is>
          <t>1、上传素材，生成复盘报告，等到能打开。
2、打开「分段入池率」，检查是否为a/b。</t>
        </is>
      </c>
      <c r="N446" s="8" t="inlineStr">
        <is>
          <t>分段入池率=a/b</t>
        </is>
      </c>
      <c r="O446" s="8" t="inlineStr">
        <is>
          <t>timeline_stats.segment_vpip_rate</t>
        </is>
      </c>
      <c r="P446" s="10" t="inlineStr">
        <is>
          <t>未执行</t>
        </is>
      </c>
      <c r="Q446" s="10" t="inlineStr"/>
      <c r="R446" s="11" t="inlineStr"/>
    </row>
    <row r="447" ht="72" customHeight="1">
      <c r="A447" s="5" t="inlineStr">
        <is>
          <t>TC-RPT-443</t>
        </is>
      </c>
      <c r="B447" s="5" t="inlineStr">
        <is>
          <t>segment_vpip_rate</t>
        </is>
      </c>
      <c r="C447" s="5" t="inlineStr">
        <is>
          <t>分段入池率</t>
        </is>
      </c>
      <c r="D447" s="13" t="inlineStr">
        <is>
          <t>P1</t>
        </is>
      </c>
      <c r="E447" s="7" t="inlineStr">
        <is>
          <t>边界值分析法</t>
        </is>
      </c>
      <c r="F447" s="7" t="inlineStr">
        <is>
          <t>心态波动</t>
        </is>
      </c>
      <c r="G447" s="7" t="inlineStr">
        <is>
          <t>内部</t>
        </is>
      </c>
      <c r="H447" s="8" t="inlineStr">
        <is>
          <t>前段 / 中段 / 后段入池频率</t>
        </is>
      </c>
      <c r="I447" s="8" t="inlineStr">
        <is>
          <t>按 Session 切分区间后计算 VPIP</t>
        </is>
      </c>
      <c r="J447" s="8" t="inlineStr">
        <is>
          <t>分段入池率反例-分母为0字段不出现</t>
        </is>
      </c>
      <c r="K447" s="12" t="inlineStr">
        <is>
          <t>反例</t>
        </is>
      </c>
      <c r="L447" s="8" t="inlineStr">
        <is>
          <t>1、已登录，当前用户是 Hero。
2、某段手数为 0。「分段入池率」应为空或不出现，不能写成 0% 或 100%。</t>
        </is>
      </c>
      <c r="M447" s="8" t="inlineStr">
        <is>
          <t>1、上传素材，生成复盘报告，等到能打开。
2、打开「分段入池率」，检查是否为空或不出现。</t>
        </is>
      </c>
      <c r="N447" s="8" t="inlineStr">
        <is>
          <t>分段入池率为空或不出现</t>
        </is>
      </c>
      <c r="O447" s="8" t="inlineStr">
        <is>
          <t>timeline_stats.segment_vpip_rate</t>
        </is>
      </c>
      <c r="P447" s="10" t="inlineStr">
        <is>
          <t>未执行</t>
        </is>
      </c>
      <c r="Q447" s="10" t="inlineStr"/>
      <c r="R447" s="11" t="inlineStr"/>
    </row>
    <row r="448" ht="72" customHeight="1">
      <c r="A448" s="5" t="inlineStr">
        <is>
          <t>TC-RPT-444</t>
        </is>
      </c>
      <c r="B448" s="5" t="inlineStr">
        <is>
          <t>segment_vpip_rate</t>
        </is>
      </c>
      <c r="C448" s="5" t="inlineStr">
        <is>
          <t>分段入池率</t>
        </is>
      </c>
      <c r="D448" s="13" t="inlineStr">
        <is>
          <t>P1</t>
        </is>
      </c>
      <c r="E448" s="7" t="inlineStr">
        <is>
          <t>边界值分析法</t>
        </is>
      </c>
      <c r="F448" s="7" t="inlineStr">
        <is>
          <t>心态波动</t>
        </is>
      </c>
      <c r="G448" s="7" t="inlineStr">
        <is>
          <t>内部</t>
        </is>
      </c>
      <c r="H448" s="8" t="inlineStr">
        <is>
          <t>前段 / 中段 / 后段入池频率</t>
        </is>
      </c>
      <c r="I448" s="8" t="inlineStr">
        <is>
          <t>按 Session 切分区间后计算 VPIP</t>
        </is>
      </c>
      <c r="J448" s="8" t="inlineStr">
        <is>
          <t>分段入池率正例-单位与换算正确</t>
        </is>
      </c>
      <c r="K448" s="9" t="inlineStr">
        <is>
          <t>正例</t>
        </is>
      </c>
      <c r="L448" s="8" t="inlineStr">
        <is>
          <t>1、已登录，当前用户是 Hero。
2、各手筹码和大盲已记下，按该手换算后「分段入池率」=n</t>
        </is>
      </c>
      <c r="M448" s="8" t="inlineStr">
        <is>
          <t>1、上传素材，生成复盘报告，等到能打开。
2、打开「分段入池率」，检查是否为n。</t>
        </is>
      </c>
      <c r="N448" s="8" t="inlineStr">
        <is>
          <t>分段入池率=n</t>
        </is>
      </c>
      <c r="O448" s="8" t="inlineStr">
        <is>
          <t>timeline_stats.segment_vpip_rate</t>
        </is>
      </c>
      <c r="P448" s="10" t="inlineStr">
        <is>
          <t>未执行</t>
        </is>
      </c>
      <c r="Q448" s="10" t="inlineStr"/>
      <c r="R448" s="11" t="inlineStr"/>
    </row>
    <row r="449" ht="72" customHeight="1">
      <c r="A449" s="5" t="inlineStr">
        <is>
          <t>TC-RPT-445</t>
        </is>
      </c>
      <c r="B449" s="5" t="inlineStr">
        <is>
          <t>segment_pfr_rate</t>
        </is>
      </c>
      <c r="C449" s="5" t="inlineStr">
        <is>
          <t>分段加注率</t>
        </is>
      </c>
      <c r="D449" s="13" t="inlineStr">
        <is>
          <t>P1</t>
        </is>
      </c>
      <c r="E449" s="7" t="inlineStr">
        <is>
          <t>等价类划分法</t>
        </is>
      </c>
      <c r="F449" s="7" t="inlineStr">
        <is>
          <t>心态波动</t>
        </is>
      </c>
      <c r="G449" s="7" t="inlineStr">
        <is>
          <t>内部</t>
        </is>
      </c>
      <c r="H449" s="8" t="inlineStr">
        <is>
          <t>前段 / 中段 / 后段加注频率</t>
        </is>
      </c>
      <c r="I449" s="8" t="inlineStr">
        <is>
          <t>按 Session 切分区间后计算 PFR</t>
        </is>
      </c>
      <c r="J449" s="8" t="inlineStr">
        <is>
          <t>分段加注率正例-前中后段各翻前加注率</t>
        </is>
      </c>
      <c r="K449" s="9" t="inlineStr">
        <is>
          <t>正例</t>
        </is>
      </c>
      <c r="L449" s="8" t="inlineStr">
        <is>
          <t>1、已登录，当前用户是 Hero。只用正例场。
2、素材里分子次数=a，分母次数=b，「分段加注率」应对=a/b</t>
        </is>
      </c>
      <c r="M449" s="8" t="inlineStr">
        <is>
          <t>1、上传素材，生成复盘报告，等到能打开。
2、打开「分段加注率」，检查是否为a/b。</t>
        </is>
      </c>
      <c r="N449" s="8" t="inlineStr">
        <is>
          <t>分段加注率=a/b</t>
        </is>
      </c>
      <c r="O449" s="8" t="inlineStr">
        <is>
          <t>timeline_stats.segment_pfr_rate</t>
        </is>
      </c>
      <c r="P449" s="10" t="inlineStr">
        <is>
          <t>未执行</t>
        </is>
      </c>
      <c r="Q449" s="10" t="inlineStr"/>
      <c r="R449" s="11" t="inlineStr"/>
    </row>
    <row r="450" ht="72" customHeight="1">
      <c r="A450" s="5" t="inlineStr">
        <is>
          <t>TC-RPT-446</t>
        </is>
      </c>
      <c r="B450" s="5" t="inlineStr">
        <is>
          <t>segment_pfr_rate</t>
        </is>
      </c>
      <c r="C450" s="5" t="inlineStr">
        <is>
          <t>分段加注率</t>
        </is>
      </c>
      <c r="D450" s="13" t="inlineStr">
        <is>
          <t>P1</t>
        </is>
      </c>
      <c r="E450" s="7" t="inlineStr">
        <is>
          <t>边界值分析法</t>
        </is>
      </c>
      <c r="F450" s="7" t="inlineStr">
        <is>
          <t>心态波动</t>
        </is>
      </c>
      <c r="G450" s="7" t="inlineStr">
        <is>
          <t>内部</t>
        </is>
      </c>
      <c r="H450" s="8" t="inlineStr">
        <is>
          <t>前段 / 中段 / 后段加注频率</t>
        </is>
      </c>
      <c r="I450" s="8" t="inlineStr">
        <is>
          <t>按 Session 切分区间后计算 PFR</t>
        </is>
      </c>
      <c r="J450" s="8" t="inlineStr">
        <is>
          <t>分段加注率反例-分母为0字段不出现</t>
        </is>
      </c>
      <c r="K450" s="12" t="inlineStr">
        <is>
          <t>反例</t>
        </is>
      </c>
      <c r="L450" s="8" t="inlineStr">
        <is>
          <t>1、已登录，当前用户是 Hero。
2、本场分母次数为 0。「分段加注率」应为空或不出现，不能写成 0% 或 100%。</t>
        </is>
      </c>
      <c r="M450" s="8" t="inlineStr">
        <is>
          <t>1、上传素材，生成复盘报告，等到能打开。
2、打开「分段加注率」，检查是否为空或不出现。</t>
        </is>
      </c>
      <c r="N450" s="8" t="inlineStr">
        <is>
          <t>分段加注率为空或不出现</t>
        </is>
      </c>
      <c r="O450" s="8" t="inlineStr">
        <is>
          <t>timeline_stats.segment_pfr_rate</t>
        </is>
      </c>
      <c r="P450" s="10" t="inlineStr">
        <is>
          <t>未执行</t>
        </is>
      </c>
      <c r="Q450" s="10" t="inlineStr"/>
      <c r="R450" s="11" t="inlineStr"/>
    </row>
    <row r="451" ht="72" customHeight="1">
      <c r="A451" s="5" t="inlineStr">
        <is>
          <t>TC-RPT-447</t>
        </is>
      </c>
      <c r="B451" s="5" t="inlineStr">
        <is>
          <t>segment_pfr_rate</t>
        </is>
      </c>
      <c r="C451" s="5" t="inlineStr">
        <is>
          <t>分段加注率</t>
        </is>
      </c>
      <c r="D451" s="13" t="inlineStr">
        <is>
          <t>P1</t>
        </is>
      </c>
      <c r="E451" s="7" t="inlineStr">
        <is>
          <t>边界值分析法</t>
        </is>
      </c>
      <c r="F451" s="7" t="inlineStr">
        <is>
          <t>心态波动</t>
        </is>
      </c>
      <c r="G451" s="7" t="inlineStr">
        <is>
          <t>内部</t>
        </is>
      </c>
      <c r="H451" s="8" t="inlineStr">
        <is>
          <t>前段 / 中段 / 后段加注频率</t>
        </is>
      </c>
      <c r="I451" s="8" t="inlineStr">
        <is>
          <t>按 Session 切分区间后计算 PFR</t>
        </is>
      </c>
      <c r="J451" s="8" t="inlineStr">
        <is>
          <t>分段加注率正例-单位与换算正确</t>
        </is>
      </c>
      <c r="K451" s="9" t="inlineStr">
        <is>
          <t>正例</t>
        </is>
      </c>
      <c r="L451" s="8" t="inlineStr">
        <is>
          <t>1、已登录，当前用户是 Hero。
2、各手筹码和大盲已记下，按该手换算后「分段加注率」=n</t>
        </is>
      </c>
      <c r="M451" s="8" t="inlineStr">
        <is>
          <t>1、上传素材，生成复盘报告，等到能打开。
2、打开「分段加注率」，检查是否为n。</t>
        </is>
      </c>
      <c r="N451" s="8" t="inlineStr">
        <is>
          <t>分段加注率=n</t>
        </is>
      </c>
      <c r="O451" s="8" t="inlineStr">
        <is>
          <t>timeline_stats.segment_pfr_rate</t>
        </is>
      </c>
      <c r="P451" s="10" t="inlineStr">
        <is>
          <t>未执行</t>
        </is>
      </c>
      <c r="Q451" s="10" t="inlineStr"/>
      <c r="R451" s="11" t="inlineStr"/>
    </row>
    <row r="452" ht="72" customHeight="1">
      <c r="A452" s="5" t="inlineStr">
        <is>
          <t>TC-RPT-448</t>
        </is>
      </c>
      <c r="B452" s="5" t="inlineStr">
        <is>
          <t>segment_call_rate</t>
        </is>
      </c>
      <c r="C452" s="5" t="inlineStr">
        <is>
          <t>分段跟注率</t>
        </is>
      </c>
      <c r="D452" s="13" t="inlineStr">
        <is>
          <t>P1</t>
        </is>
      </c>
      <c r="E452" s="7" t="inlineStr">
        <is>
          <t>等价类划分法</t>
        </is>
      </c>
      <c r="F452" s="7" t="inlineStr">
        <is>
          <t>心态波动</t>
        </is>
      </c>
      <c r="G452" s="7" t="inlineStr">
        <is>
          <t>内部</t>
        </is>
      </c>
      <c r="H452" s="8" t="inlineStr">
        <is>
          <t>前段 / 中段 / 后段跟注频率</t>
        </is>
      </c>
      <c r="I452" s="8" t="inlineStr">
        <is>
          <t>分段 call 次数 / 面对下注次数</t>
        </is>
      </c>
      <c r="J452" s="8" t="inlineStr">
        <is>
          <t>分段跟注率正例-前中后段各跟注率</t>
        </is>
      </c>
      <c r="K452" s="9" t="inlineStr">
        <is>
          <t>正例</t>
        </is>
      </c>
      <c r="L452" s="8" t="inlineStr">
        <is>
          <t>1、已登录，当前用户是 Hero。只用正例场。
2、素材里分子次数=a，分母次数=b，「分段跟注率」应对=a/b</t>
        </is>
      </c>
      <c r="M452" s="8" t="inlineStr">
        <is>
          <t>1、上传素材，生成复盘报告，等到能打开。
2、打开「分段跟注率」，检查是否为a/b。</t>
        </is>
      </c>
      <c r="N452" s="8" t="inlineStr">
        <is>
          <t>分段跟注率=a/b</t>
        </is>
      </c>
      <c r="O452" s="8" t="inlineStr">
        <is>
          <t>timeline_stats.segment_call_rate</t>
        </is>
      </c>
      <c r="P452" s="10" t="inlineStr">
        <is>
          <t>未执行</t>
        </is>
      </c>
      <c r="Q452" s="10" t="inlineStr"/>
      <c r="R452" s="11" t="inlineStr"/>
    </row>
    <row r="453" ht="72" customHeight="1">
      <c r="A453" s="5" t="inlineStr">
        <is>
          <t>TC-RPT-449</t>
        </is>
      </c>
      <c r="B453" s="5" t="inlineStr">
        <is>
          <t>segment_call_rate</t>
        </is>
      </c>
      <c r="C453" s="5" t="inlineStr">
        <is>
          <t>分段跟注率</t>
        </is>
      </c>
      <c r="D453" s="13" t="inlineStr">
        <is>
          <t>P1</t>
        </is>
      </c>
      <c r="E453" s="7" t="inlineStr">
        <is>
          <t>边界值分析法</t>
        </is>
      </c>
      <c r="F453" s="7" t="inlineStr">
        <is>
          <t>心态波动</t>
        </is>
      </c>
      <c r="G453" s="7" t="inlineStr">
        <is>
          <t>内部</t>
        </is>
      </c>
      <c r="H453" s="8" t="inlineStr">
        <is>
          <t>前段 / 中段 / 后段跟注频率</t>
        </is>
      </c>
      <c r="I453" s="8" t="inlineStr">
        <is>
          <t>分段 call 次数 / 面对下注次数</t>
        </is>
      </c>
      <c r="J453" s="8" t="inlineStr">
        <is>
          <t>分段跟注率反例-分母为0字段不出现</t>
        </is>
      </c>
      <c r="K453" s="12" t="inlineStr">
        <is>
          <t>反例</t>
        </is>
      </c>
      <c r="L453" s="8" t="inlineStr">
        <is>
          <t>1、已登录，当前用户是 Hero。
2、该段没有面对下注。「分段跟注率」应为空或不出现，不能写成 0% 或 100%。</t>
        </is>
      </c>
      <c r="M453" s="8" t="inlineStr">
        <is>
          <t>1、上传素材，生成复盘报告，等到能打开。
2、打开「分段跟注率」，检查是否为空或不出现。</t>
        </is>
      </c>
      <c r="N453" s="8" t="inlineStr">
        <is>
          <t>分段跟注率为空或不出现</t>
        </is>
      </c>
      <c r="O453" s="8" t="inlineStr">
        <is>
          <t>timeline_stats.segment_call_rate</t>
        </is>
      </c>
      <c r="P453" s="10" t="inlineStr">
        <is>
          <t>未执行</t>
        </is>
      </c>
      <c r="Q453" s="10" t="inlineStr"/>
      <c r="R453" s="11" t="inlineStr"/>
    </row>
    <row r="454" ht="72" customHeight="1">
      <c r="A454" s="5" t="inlineStr">
        <is>
          <t>TC-RPT-450</t>
        </is>
      </c>
      <c r="B454" s="5" t="inlineStr">
        <is>
          <t>segment_call_rate</t>
        </is>
      </c>
      <c r="C454" s="5" t="inlineStr">
        <is>
          <t>分段跟注率</t>
        </is>
      </c>
      <c r="D454" s="13" t="inlineStr">
        <is>
          <t>P1</t>
        </is>
      </c>
      <c r="E454" s="7" t="inlineStr">
        <is>
          <t>边界值分析法</t>
        </is>
      </c>
      <c r="F454" s="7" t="inlineStr">
        <is>
          <t>心态波动</t>
        </is>
      </c>
      <c r="G454" s="7" t="inlineStr">
        <is>
          <t>内部</t>
        </is>
      </c>
      <c r="H454" s="8" t="inlineStr">
        <is>
          <t>前段 / 中段 / 后段跟注频率</t>
        </is>
      </c>
      <c r="I454" s="8" t="inlineStr">
        <is>
          <t>分段 call 次数 / 面对下注次数</t>
        </is>
      </c>
      <c r="J454" s="8" t="inlineStr">
        <is>
          <t>分段跟注率正例-单位与换算正确</t>
        </is>
      </c>
      <c r="K454" s="9" t="inlineStr">
        <is>
          <t>正例</t>
        </is>
      </c>
      <c r="L454" s="8" t="inlineStr">
        <is>
          <t>1、已登录，当前用户是 Hero。
2、各手筹码和大盲已记下，按该手换算后「分段跟注率」=n</t>
        </is>
      </c>
      <c r="M454" s="8" t="inlineStr">
        <is>
          <t>1、上传素材，生成复盘报告，等到能打开。
2、打开「分段跟注率」，检查是否为n。</t>
        </is>
      </c>
      <c r="N454" s="8" t="inlineStr">
        <is>
          <t>分段跟注率=n</t>
        </is>
      </c>
      <c r="O454" s="8" t="inlineStr">
        <is>
          <t>timeline_stats.segment_call_rate</t>
        </is>
      </c>
      <c r="P454" s="10" t="inlineStr">
        <is>
          <t>未执行</t>
        </is>
      </c>
      <c r="Q454" s="10" t="inlineStr"/>
      <c r="R454" s="11" t="inlineStr"/>
    </row>
    <row r="455" ht="72" customHeight="1">
      <c r="A455" s="5" t="inlineStr">
        <is>
          <t>TC-RPT-451</t>
        </is>
      </c>
      <c r="B455" s="5" t="inlineStr">
        <is>
          <t>segment_defense_rate</t>
        </is>
      </c>
      <c r="C455" s="5" t="inlineStr">
        <is>
          <t>分段防守率</t>
        </is>
      </c>
      <c r="D455" s="13" t="inlineStr">
        <is>
          <t>P1</t>
        </is>
      </c>
      <c r="E455" s="7" t="inlineStr">
        <is>
          <t>等价类划分法</t>
        </is>
      </c>
      <c r="F455" s="7" t="inlineStr">
        <is>
          <t>心态波动</t>
        </is>
      </c>
      <c r="G455" s="7" t="inlineStr">
        <is>
          <t>内部</t>
        </is>
      </c>
      <c r="H455" s="8" t="inlineStr">
        <is>
          <t>盲注位分段防守变化</t>
        </is>
      </c>
      <c r="I455" s="8" t="inlineStr">
        <is>
          <t>分段盲注位防守次数 / 分段面对加注次数</t>
        </is>
      </c>
      <c r="J455" s="8" t="inlineStr">
        <is>
          <t>分段防守率正例-前中后段各盲注位被加注后跟或再加率</t>
        </is>
      </c>
      <c r="K455" s="9" t="inlineStr">
        <is>
          <t>正例</t>
        </is>
      </c>
      <c r="L455" s="8" t="inlineStr">
        <is>
          <t>1、已登录，当前用户是 Hero。只用正例场。
2、素材里分子次数=a，分母次数=b，「分段防守率」应对=a/b</t>
        </is>
      </c>
      <c r="M455" s="8" t="inlineStr">
        <is>
          <t>1、上传素材，生成复盘报告，等到能打开。
2、打开「分段防守率」，检查是否为a/b。</t>
        </is>
      </c>
      <c r="N455" s="8" t="inlineStr">
        <is>
          <t>分段防守率=a/b</t>
        </is>
      </c>
      <c r="O455" s="8" t="inlineStr">
        <is>
          <t>timeline_stats.segment_defense_rate</t>
        </is>
      </c>
      <c r="P455" s="10" t="inlineStr">
        <is>
          <t>未执行</t>
        </is>
      </c>
      <c r="Q455" s="10" t="inlineStr"/>
      <c r="R455" s="11" t="inlineStr"/>
    </row>
    <row r="456" ht="72" customHeight="1">
      <c r="A456" s="5" t="inlineStr">
        <is>
          <t>TC-RPT-452</t>
        </is>
      </c>
      <c r="B456" s="5" t="inlineStr">
        <is>
          <t>segment_defense_rate</t>
        </is>
      </c>
      <c r="C456" s="5" t="inlineStr">
        <is>
          <t>分段防守率</t>
        </is>
      </c>
      <c r="D456" s="13" t="inlineStr">
        <is>
          <t>P1</t>
        </is>
      </c>
      <c r="E456" s="7" t="inlineStr">
        <is>
          <t>边界值分析法</t>
        </is>
      </c>
      <c r="F456" s="7" t="inlineStr">
        <is>
          <t>心态波动</t>
        </is>
      </c>
      <c r="G456" s="7" t="inlineStr">
        <is>
          <t>内部</t>
        </is>
      </c>
      <c r="H456" s="8" t="inlineStr">
        <is>
          <t>盲注位分段防守变化</t>
        </is>
      </c>
      <c r="I456" s="8" t="inlineStr">
        <is>
          <t>分段盲注位防守次数 / 分段面对加注次数</t>
        </is>
      </c>
      <c r="J456" s="8" t="inlineStr">
        <is>
          <t>分段防守率反例-分母为0字段不出现</t>
        </is>
      </c>
      <c r="K456" s="12" t="inlineStr">
        <is>
          <t>反例</t>
        </is>
      </c>
      <c r="L456" s="8" t="inlineStr">
        <is>
          <t>1、已登录，当前用户是 Hero。
2、该段盲注位没被加。「分段防守率」应为空或不出现，不能写成 0% 或 100%。</t>
        </is>
      </c>
      <c r="M456" s="8" t="inlineStr">
        <is>
          <t>1、上传素材，生成复盘报告，等到能打开。
2、打开「分段防守率」，检查是否为空或不出现。</t>
        </is>
      </c>
      <c r="N456" s="8" t="inlineStr">
        <is>
          <t>分段防守率为空或不出现</t>
        </is>
      </c>
      <c r="O456" s="8" t="inlineStr">
        <is>
          <t>timeline_stats.segment_defense_rate</t>
        </is>
      </c>
      <c r="P456" s="10" t="inlineStr">
        <is>
          <t>未执行</t>
        </is>
      </c>
      <c r="Q456" s="10" t="inlineStr"/>
      <c r="R456" s="11" t="inlineStr"/>
    </row>
    <row r="457" ht="72" customHeight="1">
      <c r="A457" s="5" t="inlineStr">
        <is>
          <t>TC-RPT-453</t>
        </is>
      </c>
      <c r="B457" s="5" t="inlineStr">
        <is>
          <t>segment_defense_rate</t>
        </is>
      </c>
      <c r="C457" s="5" t="inlineStr">
        <is>
          <t>分段防守率</t>
        </is>
      </c>
      <c r="D457" s="13" t="inlineStr">
        <is>
          <t>P1</t>
        </is>
      </c>
      <c r="E457" s="7" t="inlineStr">
        <is>
          <t>边界值分析法</t>
        </is>
      </c>
      <c r="F457" s="7" t="inlineStr">
        <is>
          <t>心态波动</t>
        </is>
      </c>
      <c r="G457" s="7" t="inlineStr">
        <is>
          <t>内部</t>
        </is>
      </c>
      <c r="H457" s="8" t="inlineStr">
        <is>
          <t>盲注位分段防守变化</t>
        </is>
      </c>
      <c r="I457" s="8" t="inlineStr">
        <is>
          <t>分段盲注位防守次数 / 分段面对加注次数</t>
        </is>
      </c>
      <c r="J457" s="8" t="inlineStr">
        <is>
          <t>分段防守率正例-单位与换算正确</t>
        </is>
      </c>
      <c r="K457" s="9" t="inlineStr">
        <is>
          <t>正例</t>
        </is>
      </c>
      <c r="L457" s="8" t="inlineStr">
        <is>
          <t>1、已登录，当前用户是 Hero。
2、各手筹码和大盲已记下，按该手换算后「分段防守率」=n</t>
        </is>
      </c>
      <c r="M457" s="8" t="inlineStr">
        <is>
          <t>1、上传素材，生成复盘报告，等到能打开。
2、打开「分段防守率」，检查是否为n。</t>
        </is>
      </c>
      <c r="N457" s="8" t="inlineStr">
        <is>
          <t>分段防守率=n</t>
        </is>
      </c>
      <c r="O457" s="8" t="inlineStr">
        <is>
          <t>timeline_stats.segment_defense_rate</t>
        </is>
      </c>
      <c r="P457" s="10" t="inlineStr">
        <is>
          <t>未执行</t>
        </is>
      </c>
      <c r="Q457" s="10" t="inlineStr"/>
      <c r="R457" s="11" t="inlineStr"/>
    </row>
    <row r="458" ht="72" customHeight="1">
      <c r="A458" s="5" t="inlineStr">
        <is>
          <t>TC-RPT-454</t>
        </is>
      </c>
      <c r="B458" s="5" t="inlineStr">
        <is>
          <t>segment_high_risk_rate</t>
        </is>
      </c>
      <c r="C458" s="5" t="inlineStr">
        <is>
          <t>分段高风险决策占比</t>
        </is>
      </c>
      <c r="D458" s="13" t="inlineStr">
        <is>
          <t>P1</t>
        </is>
      </c>
      <c r="E458" s="7" t="inlineStr">
        <is>
          <t>等价类划分法</t>
        </is>
      </c>
      <c r="F458" s="7" t="inlineStr">
        <is>
          <t>心态波动</t>
        </is>
      </c>
      <c r="G458" s="7" t="inlineStr">
        <is>
          <t>内部</t>
        </is>
      </c>
      <c r="H458" s="8" t="inlineStr">
        <is>
          <t>高风险决策是否集中在某段</t>
        </is>
      </c>
      <c r="I458" s="8" t="inlineStr">
        <is>
          <t>分段 high_risk_count / 分段 judgeable_decisions</t>
        </is>
      </c>
      <c r="J458" s="8" t="inlineStr">
        <is>
          <t>分段高风险决策占比正例-前中后段各高风险占比</t>
        </is>
      </c>
      <c r="K458" s="9" t="inlineStr">
        <is>
          <t>正例</t>
        </is>
      </c>
      <c r="L458" s="8" t="inlineStr">
        <is>
          <t>1、已登录，当前用户是 Hero。只用正例场。
2、素材里「分段高风险决策占比」应对的值=n</t>
        </is>
      </c>
      <c r="M458" s="8" t="inlineStr">
        <is>
          <t>1、上传素材，生成复盘报告，等到能打开。
2、打开「分段高风险决策占比」，检查是否为n。</t>
        </is>
      </c>
      <c r="N458" s="8" t="inlineStr">
        <is>
          <t>分段高风险决策占比=n</t>
        </is>
      </c>
      <c r="O458" s="8" t="inlineStr">
        <is>
          <t>timeline_stats.segment_high_risk_rate</t>
        </is>
      </c>
      <c r="P458" s="10" t="inlineStr">
        <is>
          <t>未执行</t>
        </is>
      </c>
      <c r="Q458" s="10" t="inlineStr"/>
      <c r="R458" s="11" t="inlineStr"/>
    </row>
    <row r="459" ht="72" customHeight="1">
      <c r="A459" s="5" t="inlineStr">
        <is>
          <t>TC-RPT-455</t>
        </is>
      </c>
      <c r="B459" s="5" t="inlineStr">
        <is>
          <t>segment_high_risk_rate</t>
        </is>
      </c>
      <c r="C459" s="5" t="inlineStr">
        <is>
          <t>分段高风险决策占比</t>
        </is>
      </c>
      <c r="D459" s="13" t="inlineStr">
        <is>
          <t>P1</t>
        </is>
      </c>
      <c r="E459" s="7" t="inlineStr">
        <is>
          <t>边界值分析法</t>
        </is>
      </c>
      <c r="F459" s="7" t="inlineStr">
        <is>
          <t>心态波动</t>
        </is>
      </c>
      <c r="G459" s="7" t="inlineStr">
        <is>
          <t>内部</t>
        </is>
      </c>
      <c r="H459" s="8" t="inlineStr">
        <is>
          <t>高风险决策是否集中在某段</t>
        </is>
      </c>
      <c r="I459" s="8" t="inlineStr">
        <is>
          <t>分段 high_risk_count / 分段 judgeable_decisions</t>
        </is>
      </c>
      <c r="J459" s="8" t="inlineStr">
        <is>
          <t>分段高风险决策占比反例-分母为0字段不出现</t>
        </is>
      </c>
      <c r="K459" s="12" t="inlineStr">
        <is>
          <t>反例</t>
        </is>
      </c>
      <c r="L459" s="8" t="inlineStr">
        <is>
          <t>1、已登录，当前用户是 Hero。
2、该段无可判断点。「分段高风险决策占比」应为空或不出现，不能写成 0% 或 100%。</t>
        </is>
      </c>
      <c r="M459" s="8" t="inlineStr">
        <is>
          <t>1、上传素材，生成复盘报告，等到能打开。
2、打开「分段高风险决策占比」，检查是否为空或不出现。</t>
        </is>
      </c>
      <c r="N459" s="8" t="inlineStr">
        <is>
          <t>分段高风险决策占比为空或不出现</t>
        </is>
      </c>
      <c r="O459" s="8" t="inlineStr">
        <is>
          <t>timeline_stats.segment_high_risk_rate</t>
        </is>
      </c>
      <c r="P459" s="10" t="inlineStr">
        <is>
          <t>未执行</t>
        </is>
      </c>
      <c r="Q459" s="10" t="inlineStr"/>
      <c r="R459" s="11" t="inlineStr"/>
    </row>
    <row r="460" ht="72" customHeight="1">
      <c r="A460" s="5" t="inlineStr">
        <is>
          <t>TC-RPT-456</t>
        </is>
      </c>
      <c r="B460" s="5" t="inlineStr">
        <is>
          <t>segment_high_risk_rate</t>
        </is>
      </c>
      <c r="C460" s="5" t="inlineStr">
        <is>
          <t>分段高风险决策占比</t>
        </is>
      </c>
      <c r="D460" s="13" t="inlineStr">
        <is>
          <t>P1</t>
        </is>
      </c>
      <c r="E460" s="7" t="inlineStr">
        <is>
          <t>边界值分析法</t>
        </is>
      </c>
      <c r="F460" s="7" t="inlineStr">
        <is>
          <t>心态波动</t>
        </is>
      </c>
      <c r="G460" s="7" t="inlineStr">
        <is>
          <t>内部</t>
        </is>
      </c>
      <c r="H460" s="8" t="inlineStr">
        <is>
          <t>高风险决策是否集中在某段</t>
        </is>
      </c>
      <c r="I460" s="8" t="inlineStr">
        <is>
          <t>分段 high_risk_count / 分段 judgeable_decisions</t>
        </is>
      </c>
      <c r="J460" s="8" t="inlineStr">
        <is>
          <t>分段高风险决策占比正例-单位与换算正确</t>
        </is>
      </c>
      <c r="K460" s="9" t="inlineStr">
        <is>
          <t>正例</t>
        </is>
      </c>
      <c r="L460" s="8" t="inlineStr">
        <is>
          <t>1、已登录，当前用户是 Hero。
2、各手筹码和大盲已记下，按该手换算后「分段高风险决策占比」=n</t>
        </is>
      </c>
      <c r="M460" s="8" t="inlineStr">
        <is>
          <t>1、上传素材，生成复盘报告，等到能打开。
2、打开「分段高风险决策占比」，检查是否为n。</t>
        </is>
      </c>
      <c r="N460" s="8" t="inlineStr">
        <is>
          <t>分段高风险决策占比=n</t>
        </is>
      </c>
      <c r="O460" s="8" t="inlineStr">
        <is>
          <t>timeline_stats.segment_high_risk_rate</t>
        </is>
      </c>
      <c r="P460" s="10" t="inlineStr">
        <is>
          <t>未执行</t>
        </is>
      </c>
      <c r="Q460" s="10" t="inlineStr"/>
      <c r="R460" s="11" t="inlineStr"/>
    </row>
    <row r="461" ht="72" customHeight="1">
      <c r="A461" s="5" t="inlineStr">
        <is>
          <t>TC-RPT-457</t>
        </is>
      </c>
      <c r="B461" s="5" t="inlineStr">
        <is>
          <t>win_streak_count</t>
        </is>
      </c>
      <c r="C461" s="5" t="inlineStr">
        <is>
          <t>连续盈利手数</t>
        </is>
      </c>
      <c r="D461" s="13" t="inlineStr">
        <is>
          <t>P1</t>
        </is>
      </c>
      <c r="E461" s="7" t="inlineStr">
        <is>
          <t>等价类划分法</t>
        </is>
      </c>
      <c r="F461" s="7" t="inlineStr">
        <is>
          <t>心态波动</t>
        </is>
      </c>
      <c r="G461" s="7" t="inlineStr">
        <is>
          <t>内部</t>
        </is>
      </c>
      <c r="H461" s="8" t="inlineStr">
        <is>
          <t>最大连续盈利手数</t>
        </is>
      </c>
      <c r="I461" s="8" t="inlineStr">
        <is>
          <t>连续 per_hand_profit &gt; 0 的最大长度</t>
        </is>
      </c>
      <c r="J461" s="8" t="inlineStr">
        <is>
          <t>连续盈利手数正例-最长连续盈利手数</t>
        </is>
      </c>
      <c r="K461" s="9" t="inlineStr">
        <is>
          <t>正例</t>
        </is>
      </c>
      <c r="L461" s="8" t="inlineStr">
        <is>
          <t>1、已登录，当前用户是 Hero。只用正例场。
2、素材里「连续盈利手数」应对的值=n</t>
        </is>
      </c>
      <c r="M461" s="8" t="inlineStr">
        <is>
          <t>1、上传素材，生成复盘报告，等到能打开。
2、打开「连续盈利手数」，检查是否为n。</t>
        </is>
      </c>
      <c r="N461" s="8" t="inlineStr">
        <is>
          <t>连续盈利手数=n</t>
        </is>
      </c>
      <c r="O461" s="8" t="inlineStr">
        <is>
          <t>timeline_stats.win_streak_count</t>
        </is>
      </c>
      <c r="P461" s="10" t="inlineStr">
        <is>
          <t>未执行</t>
        </is>
      </c>
      <c r="Q461" s="10" t="inlineStr"/>
      <c r="R461" s="11" t="inlineStr"/>
    </row>
    <row r="462" ht="72" customHeight="1">
      <c r="A462" s="5" t="inlineStr">
        <is>
          <t>TC-RPT-458</t>
        </is>
      </c>
      <c r="B462" s="5" t="inlineStr">
        <is>
          <t>win_streak_count</t>
        </is>
      </c>
      <c r="C462" s="5" t="inlineStr">
        <is>
          <t>连续盈利手数</t>
        </is>
      </c>
      <c r="D462" s="13" t="inlineStr">
        <is>
          <t>P1</t>
        </is>
      </c>
      <c r="E462" s="7" t="inlineStr">
        <is>
          <t>等价类划分法</t>
        </is>
      </c>
      <c r="F462" s="7" t="inlineStr">
        <is>
          <t>心态波动</t>
        </is>
      </c>
      <c r="G462" s="7" t="inlineStr">
        <is>
          <t>内部</t>
        </is>
      </c>
      <c r="H462" s="8" t="inlineStr">
        <is>
          <t>最大连续盈利手数</t>
        </is>
      </c>
      <c r="I462" s="8" t="inlineStr">
        <is>
          <t>连续 per_hand_profit &gt; 0 的最大长度</t>
        </is>
      </c>
      <c r="J462" s="8" t="inlineStr">
        <is>
          <t>连续盈利手数反例-中间打平仍算连赢</t>
        </is>
      </c>
      <c r="K462" s="12" t="inlineStr">
        <is>
          <t>反例</t>
        </is>
      </c>
      <c r="L462" s="8" t="inlineStr">
        <is>
          <t>1、已登录，当前用户是 Hero。准备下列不该计入的素材。
2、中间打平仍算连赢，「连续盈利手数」仍=n</t>
        </is>
      </c>
      <c r="M462" s="8" t="inlineStr">
        <is>
          <t>1、上传素材，生成复盘报告，等到能打开。
2、打开「连续盈利手数」，检查是否为n。</t>
        </is>
      </c>
      <c r="N462" s="8" t="inlineStr">
        <is>
          <t>连续盈利手数=n</t>
        </is>
      </c>
      <c r="O462" s="8" t="inlineStr">
        <is>
          <t>timeline_stats.win_streak_count</t>
        </is>
      </c>
      <c r="P462" s="10" t="inlineStr">
        <is>
          <t>未执行</t>
        </is>
      </c>
      <c r="Q462" s="10" t="inlineStr"/>
      <c r="R462" s="11" t="inlineStr"/>
    </row>
    <row r="463" ht="72" customHeight="1">
      <c r="A463" s="5" t="inlineStr">
        <is>
          <t>TC-RPT-459</t>
        </is>
      </c>
      <c r="B463" s="5" t="inlineStr">
        <is>
          <t>loss_streak_count</t>
        </is>
      </c>
      <c r="C463" s="5" t="inlineStr">
        <is>
          <t>连续亏损手数</t>
        </is>
      </c>
      <c r="D463" s="13" t="inlineStr">
        <is>
          <t>P1</t>
        </is>
      </c>
      <c r="E463" s="7" t="inlineStr">
        <is>
          <t>等价类划分法</t>
        </is>
      </c>
      <c r="F463" s="7" t="inlineStr">
        <is>
          <t>心态波动</t>
        </is>
      </c>
      <c r="G463" s="7" t="inlineStr">
        <is>
          <t>内部</t>
        </is>
      </c>
      <c r="H463" s="8" t="inlineStr">
        <is>
          <t>最大连续亏损手数</t>
        </is>
      </c>
      <c r="I463" s="8" t="inlineStr">
        <is>
          <t>连续 per_hand_profit &lt; 0 的最大长度</t>
        </is>
      </c>
      <c r="J463" s="8" t="inlineStr">
        <is>
          <t>连续亏损手数正例-最长连续亏损手数</t>
        </is>
      </c>
      <c r="K463" s="9" t="inlineStr">
        <is>
          <t>正例</t>
        </is>
      </c>
      <c r="L463" s="8" t="inlineStr">
        <is>
          <t>1、已登录，当前用户是 Hero。只用正例场。
2、素材里「连续亏损手数」应对的值=n</t>
        </is>
      </c>
      <c r="M463" s="8" t="inlineStr">
        <is>
          <t>1、上传素材，生成复盘报告，等到能打开。
2、打开「连续亏损手数」，检查是否为n。</t>
        </is>
      </c>
      <c r="N463" s="8" t="inlineStr">
        <is>
          <t>连续亏损手数=n</t>
        </is>
      </c>
      <c r="O463" s="8" t="inlineStr">
        <is>
          <t>timeline_stats.loss_streak_count</t>
        </is>
      </c>
      <c r="P463" s="10" t="inlineStr">
        <is>
          <t>未执行</t>
        </is>
      </c>
      <c r="Q463" s="10" t="inlineStr"/>
      <c r="R463" s="11" t="inlineStr"/>
    </row>
    <row r="464" ht="72" customHeight="1">
      <c r="A464" s="5" t="inlineStr">
        <is>
          <t>TC-RPT-460</t>
        </is>
      </c>
      <c r="B464" s="5" t="inlineStr">
        <is>
          <t>loss_streak_count</t>
        </is>
      </c>
      <c r="C464" s="5" t="inlineStr">
        <is>
          <t>连续亏损手数</t>
        </is>
      </c>
      <c r="D464" s="13" t="inlineStr">
        <is>
          <t>P1</t>
        </is>
      </c>
      <c r="E464" s="7" t="inlineStr">
        <is>
          <t>等价类划分法</t>
        </is>
      </c>
      <c r="F464" s="7" t="inlineStr">
        <is>
          <t>心态波动</t>
        </is>
      </c>
      <c r="G464" s="7" t="inlineStr">
        <is>
          <t>内部</t>
        </is>
      </c>
      <c r="H464" s="8" t="inlineStr">
        <is>
          <t>最大连续亏损手数</t>
        </is>
      </c>
      <c r="I464" s="8" t="inlineStr">
        <is>
          <t>连续 per_hand_profit &lt; 0 的最大长度</t>
        </is>
      </c>
      <c r="J464" s="8" t="inlineStr">
        <is>
          <t>连续亏损手数反例-打平不打断连亏</t>
        </is>
      </c>
      <c r="K464" s="12" t="inlineStr">
        <is>
          <t>反例</t>
        </is>
      </c>
      <c r="L464" s="8" t="inlineStr">
        <is>
          <t>1、已登录，当前用户是 Hero。准备下列不该计入的素材。
2、打平不打断连亏，「连续亏损手数」仍=n</t>
        </is>
      </c>
      <c r="M464" s="8" t="inlineStr">
        <is>
          <t>1、上传素材，生成复盘报告，等到能打开。
2、打开「连续亏损手数」，检查是否为n。</t>
        </is>
      </c>
      <c r="N464" s="8" t="inlineStr">
        <is>
          <t>连续亏损手数=n</t>
        </is>
      </c>
      <c r="O464" s="8" t="inlineStr">
        <is>
          <t>timeline_stats.loss_streak_count</t>
        </is>
      </c>
      <c r="P464" s="10" t="inlineStr">
        <is>
          <t>未执行</t>
        </is>
      </c>
      <c r="Q464" s="10" t="inlineStr"/>
      <c r="R464" s="11" t="inlineStr"/>
    </row>
    <row r="465" ht="72" customHeight="1">
      <c r="A465" s="5" t="inlineStr">
        <is>
          <t>TC-RPT-461</t>
        </is>
      </c>
      <c r="B465" s="5" t="inlineStr">
        <is>
          <t>marginal_entry_after_win</t>
        </is>
      </c>
      <c r="C465" s="5" t="inlineStr">
        <is>
          <t>连赢后边缘牌入池</t>
        </is>
      </c>
      <c r="D465" s="13" t="inlineStr">
        <is>
          <t>P1</t>
        </is>
      </c>
      <c r="E465" s="7" t="inlineStr">
        <is>
          <t>判定表法</t>
        </is>
      </c>
      <c r="F465" s="7" t="inlineStr">
        <is>
          <t>心态波动</t>
        </is>
      </c>
      <c r="G465" s="7" t="inlineStr">
        <is>
          <t>内部</t>
        </is>
      </c>
      <c r="H465" s="8" t="inlineStr">
        <is>
          <t>连续盈利后是否用更多边缘牌入池</t>
        </is>
      </c>
      <c r="I465" s="8" t="inlineStr">
        <is>
          <t>连赢后 N 手牌中边缘牌入池次数</t>
        </is>
      </c>
      <c r="J465" s="8" t="inlineStr">
        <is>
          <t>连赢后边缘牌入池正例-连赢后窗口内边缘牌入池</t>
        </is>
      </c>
      <c r="K465" s="9" t="inlineStr">
        <is>
          <t>正例</t>
        </is>
      </c>
      <c r="L465" s="8" t="inlineStr">
        <is>
          <t>1、已登录，当前用户是 Hero。只用正例场。
2、素材里满足「连赢后边缘牌入池」全部条件的条数=n</t>
        </is>
      </c>
      <c r="M465" s="8" t="inlineStr">
        <is>
          <t>1、上传素材，生成复盘报告，等到能打开。
2、打开「连赢后边缘牌入池」，检查是否为n。</t>
        </is>
      </c>
      <c r="N465" s="8" t="inlineStr">
        <is>
          <t>连赢后边缘牌入池=n</t>
        </is>
      </c>
      <c r="O465" s="8" t="inlineStr">
        <is>
          <t>timeline_stats.marginal_entry_after_win</t>
        </is>
      </c>
      <c r="P465" s="10" t="inlineStr">
        <is>
          <t>未执行</t>
        </is>
      </c>
      <c r="Q465" s="10" t="inlineStr"/>
      <c r="R465" s="11" t="inlineStr"/>
    </row>
    <row r="466" ht="72" customHeight="1">
      <c r="A466" s="5" t="inlineStr">
        <is>
          <t>TC-RPT-462</t>
        </is>
      </c>
      <c r="B466" s="5" t="inlineStr">
        <is>
          <t>marginal_entry_after_win</t>
        </is>
      </c>
      <c r="C466" s="5" t="inlineStr">
        <is>
          <t>连赢后边缘牌入池</t>
        </is>
      </c>
      <c r="D466" s="13" t="inlineStr">
        <is>
          <t>P1</t>
        </is>
      </c>
      <c r="E466" s="7" t="inlineStr">
        <is>
          <t>判定表法</t>
        </is>
      </c>
      <c r="F466" s="7" t="inlineStr">
        <is>
          <t>心态波动</t>
        </is>
      </c>
      <c r="G466" s="7" t="inlineStr">
        <is>
          <t>内部</t>
        </is>
      </c>
      <c r="H466" s="8" t="inlineStr">
        <is>
          <t>连续盈利后是否用更多边缘牌入池</t>
        </is>
      </c>
      <c r="I466" s="8" t="inlineStr">
        <is>
          <t>连赢后 N 手牌中边缘牌入池次数</t>
        </is>
      </c>
      <c r="J466" s="8" t="inlineStr">
        <is>
          <t>连赢后边缘牌入池反例-连赢前边缘入池</t>
        </is>
      </c>
      <c r="K466" s="12" t="inlineStr">
        <is>
          <t>反例</t>
        </is>
      </c>
      <c r="L466" s="8" t="inlineStr">
        <is>
          <t>1、已登录，当前用户是 Hero。准备下列不该计入的素材。
2、只满足一半条件，应计入条数=0
· 连赢后窗口内发了边缘牌但 fold
· 没有连赢但边缘入池很多</t>
        </is>
      </c>
      <c r="M466" s="8" t="inlineStr">
        <is>
          <t>1、上传素材，生成复盘报告，等到能打开。
2、打开「连赢后边缘牌入池」，检查是否为0。</t>
        </is>
      </c>
      <c r="N466" s="8" t="inlineStr">
        <is>
          <t>连赢后边缘牌入池=0</t>
        </is>
      </c>
      <c r="O466" s="8" t="inlineStr">
        <is>
          <t>timeline_stats.marginal_entry_after_win</t>
        </is>
      </c>
      <c r="P466" s="10" t="inlineStr">
        <is>
          <t>未执行</t>
        </is>
      </c>
      <c r="Q466" s="10" t="inlineStr"/>
      <c r="R466" s="11" t="inlineStr"/>
    </row>
    <row r="467" ht="72" customHeight="1">
      <c r="A467" s="5" t="inlineStr">
        <is>
          <t>TC-RPT-463</t>
        </is>
      </c>
      <c r="B467" s="5" t="inlineStr">
        <is>
          <t>marginal_entry_after_win</t>
        </is>
      </c>
      <c r="C467" s="5" t="inlineStr">
        <is>
          <t>连赢后边缘牌入池</t>
        </is>
      </c>
      <c r="D467" s="13" t="inlineStr">
        <is>
          <t>P1</t>
        </is>
      </c>
      <c r="E467" s="7" t="inlineStr">
        <is>
          <t>因果图法</t>
        </is>
      </c>
      <c r="F467" s="7" t="inlineStr">
        <is>
          <t>心态波动</t>
        </is>
      </c>
      <c r="G467" s="7" t="inlineStr">
        <is>
          <t>内部</t>
        </is>
      </c>
      <c r="H467" s="8" t="inlineStr">
        <is>
          <t>连续盈利后是否用更多边缘牌入池</t>
        </is>
      </c>
      <c r="I467" s="8" t="inlineStr">
        <is>
          <t>连赢后 N 手牌中边缘牌入池次数</t>
        </is>
      </c>
      <c r="J467" s="8" t="inlineStr">
        <is>
          <t>连赢后边缘牌入池反例-只满足一半条件不含</t>
        </is>
      </c>
      <c r="K467" s="12" t="inlineStr">
        <is>
          <t>反例</t>
        </is>
      </c>
      <c r="L467" s="8" t="inlineStr">
        <is>
          <t>1、已登录，当前用户是 Hero。
2、只满足一半条件，应计入条数=0
· 连赢后窗口内发了边缘牌但 fold
· 没有连赢但边缘入池很多</t>
        </is>
      </c>
      <c r="M467" s="8" t="inlineStr">
        <is>
          <t>1、上传素材，生成复盘报告，等到能打开。
2、打开「连赢后边缘牌入池」，检查是否为0。</t>
        </is>
      </c>
      <c r="N467" s="8" t="inlineStr">
        <is>
          <t>连赢后边缘牌入池=0</t>
        </is>
      </c>
      <c r="O467" s="8" t="inlineStr">
        <is>
          <t>timeline_stats.marginal_entry_after_win</t>
        </is>
      </c>
      <c r="P467" s="10" t="inlineStr">
        <is>
          <t>未执行</t>
        </is>
      </c>
      <c r="Q467" s="10" t="inlineStr"/>
      <c r="R467" s="11" t="inlineStr"/>
    </row>
    <row r="468" ht="72" customHeight="1">
      <c r="A468" s="5" t="inlineStr">
        <is>
          <t>TC-RPT-464</t>
        </is>
      </c>
      <c r="B468" s="5" t="inlineStr">
        <is>
          <t>marginal_entry_after_loss</t>
        </is>
      </c>
      <c r="C468" s="5" t="inlineStr">
        <is>
          <t>连亏后边缘牌入池</t>
        </is>
      </c>
      <c r="D468" s="13" t="inlineStr">
        <is>
          <t>P1</t>
        </is>
      </c>
      <c r="E468" s="7" t="inlineStr">
        <is>
          <t>判定表法</t>
        </is>
      </c>
      <c r="F468" s="7" t="inlineStr">
        <is>
          <t>心态波动</t>
        </is>
      </c>
      <c r="G468" s="7" t="inlineStr">
        <is>
          <t>内部</t>
        </is>
      </c>
      <c r="H468" s="8" t="inlineStr">
        <is>
          <t>连续亏损后是否用更多边缘牌入池</t>
        </is>
      </c>
      <c r="I468" s="8" t="inlineStr">
        <is>
          <t>连亏后 N 手牌中边缘牌入池次数</t>
        </is>
      </c>
      <c r="J468" s="8" t="inlineStr">
        <is>
          <t>连亏后边缘牌入池正例-连亏后窗口内边缘牌入池</t>
        </is>
      </c>
      <c r="K468" s="9" t="inlineStr">
        <is>
          <t>正例</t>
        </is>
      </c>
      <c r="L468" s="8" t="inlineStr">
        <is>
          <t>1、已登录，当前用户是 Hero。只用正例场。
2、素材里满足「连亏后边缘牌入池」全部条件的条数=n</t>
        </is>
      </c>
      <c r="M468" s="8" t="inlineStr">
        <is>
          <t>1、上传素材，生成复盘报告，等到能打开。
2、打开「连亏后边缘牌入池」，检查是否为n。</t>
        </is>
      </c>
      <c r="N468" s="8" t="inlineStr">
        <is>
          <t>连亏后边缘牌入池=n</t>
        </is>
      </c>
      <c r="O468" s="8" t="inlineStr">
        <is>
          <t>timeline_stats.marginal_entry_after_loss</t>
        </is>
      </c>
      <c r="P468" s="10" t="inlineStr">
        <is>
          <t>未执行</t>
        </is>
      </c>
      <c r="Q468" s="10" t="inlineStr"/>
      <c r="R468" s="11" t="inlineStr"/>
    </row>
    <row r="469" ht="72" customHeight="1">
      <c r="A469" s="5" t="inlineStr">
        <is>
          <t>TC-RPT-465</t>
        </is>
      </c>
      <c r="B469" s="5" t="inlineStr">
        <is>
          <t>marginal_entry_after_loss</t>
        </is>
      </c>
      <c r="C469" s="5" t="inlineStr">
        <is>
          <t>连亏后边缘牌入池</t>
        </is>
      </c>
      <c r="D469" s="13" t="inlineStr">
        <is>
          <t>P1</t>
        </is>
      </c>
      <c r="E469" s="7" t="inlineStr">
        <is>
          <t>判定表法</t>
        </is>
      </c>
      <c r="F469" s="7" t="inlineStr">
        <is>
          <t>心态波动</t>
        </is>
      </c>
      <c r="G469" s="7" t="inlineStr">
        <is>
          <t>内部</t>
        </is>
      </c>
      <c r="H469" s="8" t="inlineStr">
        <is>
          <t>连续亏损后是否用更多边缘牌入池</t>
        </is>
      </c>
      <c r="I469" s="8" t="inlineStr">
        <is>
          <t>连亏后 N 手牌中边缘牌入池次数</t>
        </is>
      </c>
      <c r="J469" s="8" t="inlineStr">
        <is>
          <t>连亏后边缘牌入池反例-连亏前边缘入池</t>
        </is>
      </c>
      <c r="K469" s="12" t="inlineStr">
        <is>
          <t>反例</t>
        </is>
      </c>
      <c r="L469" s="8" t="inlineStr">
        <is>
          <t>1、已登录，当前用户是 Hero。准备下列不该计入的素材。
2、只满足一半条件，应计入条数=0
· 连亏后边缘牌 fold
· 未连亏的边缘入池</t>
        </is>
      </c>
      <c r="M469" s="8" t="inlineStr">
        <is>
          <t>1、上传素材，生成复盘报告，等到能打开。
2、打开「连亏后边缘牌入池」，检查是否为0。</t>
        </is>
      </c>
      <c r="N469" s="8" t="inlineStr">
        <is>
          <t>连亏后边缘牌入池=0</t>
        </is>
      </c>
      <c r="O469" s="8" t="inlineStr">
        <is>
          <t>timeline_stats.marginal_entry_after_loss</t>
        </is>
      </c>
      <c r="P469" s="10" t="inlineStr">
        <is>
          <t>未执行</t>
        </is>
      </c>
      <c r="Q469" s="10" t="inlineStr"/>
      <c r="R469" s="11" t="inlineStr"/>
    </row>
    <row r="470" ht="72" customHeight="1">
      <c r="A470" s="5" t="inlineStr">
        <is>
          <t>TC-RPT-466</t>
        </is>
      </c>
      <c r="B470" s="5" t="inlineStr">
        <is>
          <t>marginal_entry_after_loss</t>
        </is>
      </c>
      <c r="C470" s="5" t="inlineStr">
        <is>
          <t>连亏后边缘牌入池</t>
        </is>
      </c>
      <c r="D470" s="13" t="inlineStr">
        <is>
          <t>P1</t>
        </is>
      </c>
      <c r="E470" s="7" t="inlineStr">
        <is>
          <t>因果图法</t>
        </is>
      </c>
      <c r="F470" s="7" t="inlineStr">
        <is>
          <t>心态波动</t>
        </is>
      </c>
      <c r="G470" s="7" t="inlineStr">
        <is>
          <t>内部</t>
        </is>
      </c>
      <c r="H470" s="8" t="inlineStr">
        <is>
          <t>连续亏损后是否用更多边缘牌入池</t>
        </is>
      </c>
      <c r="I470" s="8" t="inlineStr">
        <is>
          <t>连亏后 N 手牌中边缘牌入池次数</t>
        </is>
      </c>
      <c r="J470" s="8" t="inlineStr">
        <is>
          <t>连亏后边缘牌入池反例-只满足一半条件不含</t>
        </is>
      </c>
      <c r="K470" s="12" t="inlineStr">
        <is>
          <t>反例</t>
        </is>
      </c>
      <c r="L470" s="8" t="inlineStr">
        <is>
          <t>1、已登录，当前用户是 Hero。
2、只满足一半条件，应计入条数=0
· 连亏后边缘牌 fold
· 未连亏的边缘入池</t>
        </is>
      </c>
      <c r="M470" s="8" t="inlineStr">
        <is>
          <t>1、上传素材，生成复盘报告，等到能打开。
2、打开「连亏后边缘牌入池」，检查是否为0。</t>
        </is>
      </c>
      <c r="N470" s="8" t="inlineStr">
        <is>
          <t>连亏后边缘牌入池=0</t>
        </is>
      </c>
      <c r="O470" s="8" t="inlineStr">
        <is>
          <t>timeline_stats.marginal_entry_after_loss</t>
        </is>
      </c>
      <c r="P470" s="10" t="inlineStr">
        <is>
          <t>未执行</t>
        </is>
      </c>
      <c r="Q470" s="10" t="inlineStr"/>
      <c r="R470" s="11" t="inlineStr"/>
    </row>
    <row r="471" ht="72" customHeight="1">
      <c r="A471" s="5" t="inlineStr">
        <is>
          <t>TC-RPT-467</t>
        </is>
      </c>
      <c r="B471" s="5" t="inlineStr">
        <is>
          <t>weak_AK_entry_count</t>
        </is>
      </c>
      <c r="C471" s="5" t="inlineStr">
        <is>
          <t>弱 A / 弱 K 入池次数</t>
        </is>
      </c>
      <c r="D471" s="14" t="inlineStr">
        <is>
          <t>P2</t>
        </is>
      </c>
      <c r="E471" s="7" t="inlineStr">
        <is>
          <t>判定表法</t>
        </is>
      </c>
      <c r="F471" s="7" t="inlineStr">
        <is>
          <t>心态波动</t>
        </is>
      </c>
      <c r="G471" s="7" t="inlineStr">
        <is>
          <t>内部</t>
        </is>
      </c>
      <c r="H471" s="8" t="inlineStr">
        <is>
          <t>弱踢脚高牌参与数量</t>
        </is>
      </c>
      <c r="I471" s="8" t="inlineStr">
        <is>
          <t>A2-A9、K2-K9 等弱踢脚牌入池次数</t>
        </is>
      </c>
      <c r="J471" s="8" t="inlineStr">
        <is>
          <t>弱 A / 弱 K 入池次数正例-弱A弱K边缘牌入池次数</t>
        </is>
      </c>
      <c r="K471" s="9" t="inlineStr">
        <is>
          <t>正例</t>
        </is>
      </c>
      <c r="L471" s="8" t="inlineStr">
        <is>
          <t>1、已登录，当前用户是 Hero。只用正例场。
2、素材里满足「弱 A / 弱 K 入池次数」全部条件的条数=n</t>
        </is>
      </c>
      <c r="M471" s="8" t="inlineStr">
        <is>
          <t>1、上传素材，生成复盘报告，等到能打开。
2、打开「弱 A / 弱 K 入池次数」，检查是否为n。</t>
        </is>
      </c>
      <c r="N471" s="8" t="inlineStr">
        <is>
          <t>弱 A / 弱 K 入池次数=n</t>
        </is>
      </c>
      <c r="O471" s="8" t="inlineStr">
        <is>
          <t>timeline_stats.weak_AK_entry_count</t>
        </is>
      </c>
      <c r="P471" s="10" t="inlineStr">
        <is>
          <t>未执行</t>
        </is>
      </c>
      <c r="Q471" s="10" t="inlineStr"/>
      <c r="R471" s="11" t="inlineStr"/>
    </row>
    <row r="472" ht="72" customHeight="1">
      <c r="A472" s="5" t="inlineStr">
        <is>
          <t>TC-RPT-468</t>
        </is>
      </c>
      <c r="B472" s="5" t="inlineStr">
        <is>
          <t>weak_AK_entry_count</t>
        </is>
      </c>
      <c r="C472" s="5" t="inlineStr">
        <is>
          <t>弱 A / 弱 K 入池次数</t>
        </is>
      </c>
      <c r="D472" s="14" t="inlineStr">
        <is>
          <t>P2</t>
        </is>
      </c>
      <c r="E472" s="7" t="inlineStr">
        <is>
          <t>判定表法</t>
        </is>
      </c>
      <c r="F472" s="7" t="inlineStr">
        <is>
          <t>心态波动</t>
        </is>
      </c>
      <c r="G472" s="7" t="inlineStr">
        <is>
          <t>内部</t>
        </is>
      </c>
      <c r="H472" s="8" t="inlineStr">
        <is>
          <t>弱踢脚高牌参与数量</t>
        </is>
      </c>
      <c r="I472" s="8" t="inlineStr">
        <is>
          <t>A2-A9、K2-K9 等弱踢脚牌入池次数</t>
        </is>
      </c>
      <c r="J472" s="8" t="inlineStr">
        <is>
          <t>弱 A / 弱 K 入池次数反例-AT入池或A5弃牌</t>
        </is>
      </c>
      <c r="K472" s="12" t="inlineStr">
        <is>
          <t>反例</t>
        </is>
      </c>
      <c r="L472" s="8" t="inlineStr">
        <is>
          <t>1、已登录，当前用户是 Hero。准备下列不该计入的素材。
2、只满足一半条件，应计入条数=0
· 弱 A/K 但没入池</t>
        </is>
      </c>
      <c r="M472" s="8" t="inlineStr">
        <is>
          <t>1、上传素材，生成复盘报告，等到能打开。
2、打开「弱 A / 弱 K 入池次数」，检查是否为0。</t>
        </is>
      </c>
      <c r="N472" s="8" t="inlineStr">
        <is>
          <t>弱 A / 弱 K 入池次数=0</t>
        </is>
      </c>
      <c r="O472" s="8" t="inlineStr">
        <is>
          <t>timeline_stats.weak_AK_entry_count</t>
        </is>
      </c>
      <c r="P472" s="10" t="inlineStr">
        <is>
          <t>未执行</t>
        </is>
      </c>
      <c r="Q472" s="10" t="inlineStr"/>
      <c r="R472" s="11" t="inlineStr"/>
    </row>
    <row r="473" ht="72" customHeight="1">
      <c r="A473" s="5" t="inlineStr">
        <is>
          <t>TC-RPT-469</t>
        </is>
      </c>
      <c r="B473" s="5" t="inlineStr">
        <is>
          <t>weak_AK_entry_count</t>
        </is>
      </c>
      <c r="C473" s="5" t="inlineStr">
        <is>
          <t>弱 A / 弱 K 入池次数</t>
        </is>
      </c>
      <c r="D473" s="14" t="inlineStr">
        <is>
          <t>P2</t>
        </is>
      </c>
      <c r="E473" s="7" t="inlineStr">
        <is>
          <t>因果图法</t>
        </is>
      </c>
      <c r="F473" s="7" t="inlineStr">
        <is>
          <t>心态波动</t>
        </is>
      </c>
      <c r="G473" s="7" t="inlineStr">
        <is>
          <t>内部</t>
        </is>
      </c>
      <c r="H473" s="8" t="inlineStr">
        <is>
          <t>弱踢脚高牌参与数量</t>
        </is>
      </c>
      <c r="I473" s="8" t="inlineStr">
        <is>
          <t>A2-A9、K2-K9 等弱踢脚牌入池次数</t>
        </is>
      </c>
      <c r="J473" s="8" t="inlineStr">
        <is>
          <t>弱 A / 弱 K 入池次数反例-只满足一半条件不含</t>
        </is>
      </c>
      <c r="K473" s="12" t="inlineStr">
        <is>
          <t>反例</t>
        </is>
      </c>
      <c r="L473" s="8" t="inlineStr">
        <is>
          <t>1、已登录，当前用户是 Hero。
2、只满足一半条件，应计入条数=0
· 弱 A/K 但没入池</t>
        </is>
      </c>
      <c r="M473" s="8" t="inlineStr">
        <is>
          <t>1、上传素材，生成复盘报告，等到能打开。
2、打开「弱 A / 弱 K 入池次数」，检查是否为0。</t>
        </is>
      </c>
      <c r="N473" s="8" t="inlineStr">
        <is>
          <t>弱 A / 弱 K 入池次数=0</t>
        </is>
      </c>
      <c r="O473" s="8" t="inlineStr">
        <is>
          <t>timeline_stats.weak_AK_entry_count</t>
        </is>
      </c>
      <c r="P473" s="10" t="inlineStr">
        <is>
          <t>未执行</t>
        </is>
      </c>
      <c r="Q473" s="10" t="inlineStr"/>
      <c r="R473" s="11" t="inlineStr"/>
    </row>
    <row r="474" ht="72" customHeight="1">
      <c r="A474" s="5" t="inlineStr">
        <is>
          <t>TC-RPT-470</t>
        </is>
      </c>
      <c r="B474" s="5" t="inlineStr">
        <is>
          <t>weak_AK_entry_count</t>
        </is>
      </c>
      <c r="C474" s="5" t="inlineStr">
        <is>
          <t>弱 A / 弱 K 入池次数</t>
        </is>
      </c>
      <c r="D474" s="14" t="inlineStr">
        <is>
          <t>P2</t>
        </is>
      </c>
      <c r="E474" s="7" t="inlineStr">
        <is>
          <t>判定表法</t>
        </is>
      </c>
      <c r="F474" s="7" t="inlineStr">
        <is>
          <t>心态波动</t>
        </is>
      </c>
      <c r="G474" s="7" t="inlineStr">
        <is>
          <t>内部</t>
        </is>
      </c>
      <c r="H474" s="8" t="inlineStr">
        <is>
          <t>弱踢脚高牌参与数量</t>
        </is>
      </c>
      <c r="I474" s="8" t="inlineStr">
        <is>
          <t>A2-A9、K2-K9 等弱踢脚牌入池次数</t>
        </is>
      </c>
      <c r="J474" s="8" t="inlineStr">
        <is>
          <t>弱A弱K入池反例-AT入池或A5弃牌</t>
        </is>
      </c>
      <c r="K474" s="12" t="inlineStr">
        <is>
          <t>反例</t>
        </is>
      </c>
      <c r="L474" s="8" t="inlineStr">
        <is>
          <t>1、已登录，当前用户是 Hero。
2、素材含两手：AT 入池、A5 弃牌。两手都不含，弱A弱K入池次数=0</t>
        </is>
      </c>
      <c r="M474" s="8" t="inlineStr">
        <is>
          <t>1、上传素材，生成复盘报告，等到能打开。
2、打开「弱A弱K入池次数」，检查是否为0。</t>
        </is>
      </c>
      <c r="N474" s="8" t="inlineStr">
        <is>
          <t>弱A弱K入池次数=0</t>
        </is>
      </c>
      <c r="O474" s="8" t="inlineStr">
        <is>
          <t>timeline_stats.weak_AK_entry_count</t>
        </is>
      </c>
      <c r="P474" s="10" t="inlineStr">
        <is>
          <t>未执行</t>
        </is>
      </c>
      <c r="Q474" s="10" t="inlineStr"/>
      <c r="R474" s="11" t="inlineStr"/>
    </row>
    <row r="475" ht="72" customHeight="1">
      <c r="A475" s="5" t="inlineStr">
        <is>
          <t>TC-RPT-471</t>
        </is>
      </c>
      <c r="B475" s="5" t="inlineStr">
        <is>
          <t>low_connector_entry_count</t>
        </is>
      </c>
      <c r="C475" s="5" t="inlineStr">
        <is>
          <t>低连张入池次数</t>
        </is>
      </c>
      <c r="D475" s="14" t="inlineStr">
        <is>
          <t>P2</t>
        </is>
      </c>
      <c r="E475" s="7" t="inlineStr">
        <is>
          <t>判定表法</t>
        </is>
      </c>
      <c r="F475" s="7" t="inlineStr">
        <is>
          <t>心态波动</t>
        </is>
      </c>
      <c r="G475" s="7" t="inlineStr">
        <is>
          <t>内部</t>
        </is>
      </c>
      <c r="H475" s="8" t="inlineStr">
        <is>
          <t>低连张 / 低同花连张参与数量</t>
        </is>
      </c>
      <c r="I475" s="8" t="inlineStr">
        <is>
          <t>如 54s、65s、76o 等边缘连张入池次数</t>
        </is>
      </c>
      <c r="J475" s="8" t="inlineStr">
        <is>
          <t>低连张入池次数正例-低连张边缘牌入池次数</t>
        </is>
      </c>
      <c r="K475" s="9" t="inlineStr">
        <is>
          <t>正例</t>
        </is>
      </c>
      <c r="L475" s="8" t="inlineStr">
        <is>
          <t>1、已登录，当前用户是 Hero。只用正例场。
2、素材里满足「低连张入池次数」全部条件的条数=n</t>
        </is>
      </c>
      <c r="M475" s="8" t="inlineStr">
        <is>
          <t>1、上传素材，生成复盘报告，等到能打开。
2、打开「低连张入池次数」，检查是否为n。</t>
        </is>
      </c>
      <c r="N475" s="8" t="inlineStr">
        <is>
          <t>低连张入池次数=n</t>
        </is>
      </c>
      <c r="O475" s="8" t="inlineStr">
        <is>
          <t>timeline_stats.low_connector_entry_count</t>
        </is>
      </c>
      <c r="P475" s="10" t="inlineStr">
        <is>
          <t>未执行</t>
        </is>
      </c>
      <c r="Q475" s="10" t="inlineStr"/>
      <c r="R475" s="11" t="inlineStr"/>
    </row>
    <row r="476" ht="72" customHeight="1">
      <c r="A476" s="5" t="inlineStr">
        <is>
          <t>TC-RPT-472</t>
        </is>
      </c>
      <c r="B476" s="5" t="inlineStr">
        <is>
          <t>low_connector_entry_count</t>
        </is>
      </c>
      <c r="C476" s="5" t="inlineStr">
        <is>
          <t>低连张入池次数</t>
        </is>
      </c>
      <c r="D476" s="14" t="inlineStr">
        <is>
          <t>P2</t>
        </is>
      </c>
      <c r="E476" s="7" t="inlineStr">
        <is>
          <t>判定表法</t>
        </is>
      </c>
      <c r="F476" s="7" t="inlineStr">
        <is>
          <t>心态波动</t>
        </is>
      </c>
      <c r="G476" s="7" t="inlineStr">
        <is>
          <t>内部</t>
        </is>
      </c>
      <c r="H476" s="8" t="inlineStr">
        <is>
          <t>低连张 / 低同花连张参与数量</t>
        </is>
      </c>
      <c r="I476" s="8" t="inlineStr">
        <is>
          <t>如 54s、65s、76o 等边缘连张入池次数</t>
        </is>
      </c>
      <c r="J476" s="8" t="inlineStr">
        <is>
          <t>低连张入池次数反例-JTs或未入池54s</t>
        </is>
      </c>
      <c r="K476" s="12" t="inlineStr">
        <is>
          <t>反例</t>
        </is>
      </c>
      <c r="L476" s="8" t="inlineStr">
        <is>
          <t>1、已登录，当前用户是 Hero。准备下列不该计入的素材。
2、只满足一半条件，应计入条数=0
· 名单内连张但没入池</t>
        </is>
      </c>
      <c r="M476" s="8" t="inlineStr">
        <is>
          <t>1、上传素材，生成复盘报告，等到能打开。
2、打开「低连张入池次数」，检查是否为0。</t>
        </is>
      </c>
      <c r="N476" s="8" t="inlineStr">
        <is>
          <t>低连张入池次数=0</t>
        </is>
      </c>
      <c r="O476" s="8" t="inlineStr">
        <is>
          <t>timeline_stats.low_connector_entry_count</t>
        </is>
      </c>
      <c r="P476" s="10" t="inlineStr">
        <is>
          <t>未执行</t>
        </is>
      </c>
      <c r="Q476" s="10" t="inlineStr"/>
      <c r="R476" s="11" t="inlineStr"/>
    </row>
    <row r="477" ht="72" customHeight="1">
      <c r="A477" s="5" t="inlineStr">
        <is>
          <t>TC-RPT-473</t>
        </is>
      </c>
      <c r="B477" s="5" t="inlineStr">
        <is>
          <t>low_connector_entry_count</t>
        </is>
      </c>
      <c r="C477" s="5" t="inlineStr">
        <is>
          <t>低连张入池次数</t>
        </is>
      </c>
      <c r="D477" s="14" t="inlineStr">
        <is>
          <t>P2</t>
        </is>
      </c>
      <c r="E477" s="7" t="inlineStr">
        <is>
          <t>因果图法</t>
        </is>
      </c>
      <c r="F477" s="7" t="inlineStr">
        <is>
          <t>心态波动</t>
        </is>
      </c>
      <c r="G477" s="7" t="inlineStr">
        <is>
          <t>内部</t>
        </is>
      </c>
      <c r="H477" s="8" t="inlineStr">
        <is>
          <t>低连张 / 低同花连张参与数量</t>
        </is>
      </c>
      <c r="I477" s="8" t="inlineStr">
        <is>
          <t>如 54s、65s、76o 等边缘连张入池次数</t>
        </is>
      </c>
      <c r="J477" s="8" t="inlineStr">
        <is>
          <t>低连张入池次数反例-只满足一半条件不含</t>
        </is>
      </c>
      <c r="K477" s="12" t="inlineStr">
        <is>
          <t>反例</t>
        </is>
      </c>
      <c r="L477" s="8" t="inlineStr">
        <is>
          <t>1、已登录，当前用户是 Hero。
2、只满足一半条件，应计入条数=0
· 名单内连张但没入池</t>
        </is>
      </c>
      <c r="M477" s="8" t="inlineStr">
        <is>
          <t>1、上传素材，生成复盘报告，等到能打开。
2、打开「低连张入池次数」，检查是否为0。</t>
        </is>
      </c>
      <c r="N477" s="8" t="inlineStr">
        <is>
          <t>低连张入池次数=0</t>
        </is>
      </c>
      <c r="O477" s="8" t="inlineStr">
        <is>
          <t>timeline_stats.low_connector_entry_count</t>
        </is>
      </c>
      <c r="P477" s="10" t="inlineStr">
        <is>
          <t>未执行</t>
        </is>
      </c>
      <c r="Q477" s="10" t="inlineStr"/>
      <c r="R477" s="11" t="inlineStr"/>
    </row>
    <row r="478" ht="72" customHeight="1">
      <c r="A478" s="5" t="inlineStr">
        <is>
          <t>TC-RPT-474</t>
        </is>
      </c>
      <c r="B478" s="5" t="inlineStr">
        <is>
          <t>low_connector_entry_count</t>
        </is>
      </c>
      <c r="C478" s="5" t="inlineStr">
        <is>
          <t>低连张入池次数</t>
        </is>
      </c>
      <c r="D478" s="14" t="inlineStr">
        <is>
          <t>P2</t>
        </is>
      </c>
      <c r="E478" s="7" t="inlineStr">
        <is>
          <t>判定表法</t>
        </is>
      </c>
      <c r="F478" s="7" t="inlineStr">
        <is>
          <t>心态波动</t>
        </is>
      </c>
      <c r="G478" s="7" t="inlineStr">
        <is>
          <t>内部</t>
        </is>
      </c>
      <c r="H478" s="8" t="inlineStr">
        <is>
          <t>低连张 / 低同花连张参与数量</t>
        </is>
      </c>
      <c r="I478" s="8" t="inlineStr">
        <is>
          <t>如 54s、65s、76o 等边缘连张入池次数</t>
        </is>
      </c>
      <c r="J478" s="8" t="inlineStr">
        <is>
          <t>低连张入池反例-JTs入池或弃牌</t>
        </is>
      </c>
      <c r="K478" s="12" t="inlineStr">
        <is>
          <t>反例</t>
        </is>
      </c>
      <c r="L478" s="8" t="inlineStr">
        <is>
          <t>1、已登录，当前用户是 Hero。
2、素材含两手：JTs 入池、54s 弃牌。两手都不含，低连张入池次数=0</t>
        </is>
      </c>
      <c r="M478" s="8" t="inlineStr">
        <is>
          <t>1、上传素材，生成复盘报告，等到能打开。
2、打开「低连张入池次数」，检查是否为0。</t>
        </is>
      </c>
      <c r="N478" s="8" t="inlineStr">
        <is>
          <t>低连张入池次数=0</t>
        </is>
      </c>
      <c r="O478" s="8" t="inlineStr">
        <is>
          <t>timeline_stats.low_connector_entry_count</t>
        </is>
      </c>
      <c r="P478" s="10" t="inlineStr">
        <is>
          <t>未执行</t>
        </is>
      </c>
      <c r="Q478" s="10" t="inlineStr"/>
      <c r="R478" s="11" t="inlineStr"/>
    </row>
    <row r="479" ht="72" customHeight="1">
      <c r="A479" s="5" t="inlineStr">
        <is>
          <t>TC-RPT-475</t>
        </is>
      </c>
      <c r="B479" s="5" t="inlineStr">
        <is>
          <t>oop_marginal_entry_count</t>
        </is>
      </c>
      <c r="C479" s="5" t="inlineStr">
        <is>
          <t>不利位置边缘牌入池</t>
        </is>
      </c>
      <c r="D479" s="13" t="inlineStr">
        <is>
          <t>P1</t>
        </is>
      </c>
      <c r="E479" s="7" t="inlineStr">
        <is>
          <t>判定表法</t>
        </is>
      </c>
      <c r="F479" s="7" t="inlineStr">
        <is>
          <t>心态波动</t>
        </is>
      </c>
      <c r="G479" s="7" t="inlineStr">
        <is>
          <t>内部</t>
        </is>
      </c>
      <c r="H479" s="8" t="inlineStr">
        <is>
          <t>UTG / MP / SB / BB 边缘牌参与次数</t>
        </is>
      </c>
      <c r="I479" s="8" t="inlineStr">
        <is>
          <t>不利位置边缘牌入池手数</t>
        </is>
      </c>
      <c r="J479" s="8" t="inlineStr">
        <is>
          <t>不利位置边缘牌入池正例-不利位置边缘牌入池次数</t>
        </is>
      </c>
      <c r="K479" s="9" t="inlineStr">
        <is>
          <t>正例</t>
        </is>
      </c>
      <c r="L479" s="8" t="inlineStr">
        <is>
          <t>1、已登录，当前用户是 Hero。只用正例场。
2、素材里满足「不利位置边缘牌入池」全部条件的条数=n</t>
        </is>
      </c>
      <c r="M479" s="8" t="inlineStr">
        <is>
          <t>1、上传素材，生成复盘报告，等到能打开。
2、打开「不利位置边缘牌入池」，检查是否为n。</t>
        </is>
      </c>
      <c r="N479" s="8" t="inlineStr">
        <is>
          <t>不利位置边缘牌入池=n</t>
        </is>
      </c>
      <c r="O479" s="8" t="inlineStr">
        <is>
          <t>timeline_stats.oop_marginal_entry_count</t>
        </is>
      </c>
      <c r="P479" s="10" t="inlineStr">
        <is>
          <t>未执行</t>
        </is>
      </c>
      <c r="Q479" s="10" t="inlineStr"/>
      <c r="R479" s="11" t="inlineStr"/>
    </row>
    <row r="480" ht="72" customHeight="1">
      <c r="A480" s="5" t="inlineStr">
        <is>
          <t>TC-RPT-476</t>
        </is>
      </c>
      <c r="B480" s="5" t="inlineStr">
        <is>
          <t>oop_marginal_entry_count</t>
        </is>
      </c>
      <c r="C480" s="5" t="inlineStr">
        <is>
          <t>不利位置边缘牌入池</t>
        </is>
      </c>
      <c r="D480" s="13" t="inlineStr">
        <is>
          <t>P1</t>
        </is>
      </c>
      <c r="E480" s="7" t="inlineStr">
        <is>
          <t>判定表法</t>
        </is>
      </c>
      <c r="F480" s="7" t="inlineStr">
        <is>
          <t>心态波动</t>
        </is>
      </c>
      <c r="G480" s="7" t="inlineStr">
        <is>
          <t>内部</t>
        </is>
      </c>
      <c r="H480" s="8" t="inlineStr">
        <is>
          <t>UTG / MP / SB / BB 边缘牌参与次数</t>
        </is>
      </c>
      <c r="I480" s="8" t="inlineStr">
        <is>
          <t>不利位置边缘牌入池手数</t>
        </is>
      </c>
      <c r="J480" s="8" t="inlineStr">
        <is>
          <t>不利位置边缘牌入池反例-有利位置边缘入池</t>
        </is>
      </c>
      <c r="K480" s="12" t="inlineStr">
        <is>
          <t>反例</t>
        </is>
      </c>
      <c r="L480" s="8" t="inlineStr">
        <is>
          <t>1、已登录，当前用户是 Hero。准备下列不该计入的素材。
2、只满足一半条件，应计入条数=0
· 不利位置边缘牌但 fold
· 有利位置边缘入池</t>
        </is>
      </c>
      <c r="M480" s="8" t="inlineStr">
        <is>
          <t>1、上传素材，生成复盘报告，等到能打开。
2、打开「不利位置边缘牌入池」，检查是否为0。</t>
        </is>
      </c>
      <c r="N480" s="8" t="inlineStr">
        <is>
          <t>不利位置边缘牌入池=0</t>
        </is>
      </c>
      <c r="O480" s="8" t="inlineStr">
        <is>
          <t>timeline_stats.oop_marginal_entry_count</t>
        </is>
      </c>
      <c r="P480" s="10" t="inlineStr">
        <is>
          <t>未执行</t>
        </is>
      </c>
      <c r="Q480" s="10" t="inlineStr"/>
      <c r="R480" s="11" t="inlineStr"/>
    </row>
    <row r="481" ht="72" customHeight="1">
      <c r="A481" s="5" t="inlineStr">
        <is>
          <t>TC-RPT-477</t>
        </is>
      </c>
      <c r="B481" s="5" t="inlineStr">
        <is>
          <t>oop_marginal_entry_count</t>
        </is>
      </c>
      <c r="C481" s="5" t="inlineStr">
        <is>
          <t>不利位置边缘牌入池</t>
        </is>
      </c>
      <c r="D481" s="13" t="inlineStr">
        <is>
          <t>P1</t>
        </is>
      </c>
      <c r="E481" s="7" t="inlineStr">
        <is>
          <t>因果图法</t>
        </is>
      </c>
      <c r="F481" s="7" t="inlineStr">
        <is>
          <t>心态波动</t>
        </is>
      </c>
      <c r="G481" s="7" t="inlineStr">
        <is>
          <t>内部</t>
        </is>
      </c>
      <c r="H481" s="8" t="inlineStr">
        <is>
          <t>UTG / MP / SB / BB 边缘牌参与次数</t>
        </is>
      </c>
      <c r="I481" s="8" t="inlineStr">
        <is>
          <t>不利位置边缘牌入池手数</t>
        </is>
      </c>
      <c r="J481" s="8" t="inlineStr">
        <is>
          <t>不利位置边缘牌入池反例-只满足一半条件不含</t>
        </is>
      </c>
      <c r="K481" s="12" t="inlineStr">
        <is>
          <t>反例</t>
        </is>
      </c>
      <c r="L481" s="8" t="inlineStr">
        <is>
          <t>1、已登录，当前用户是 Hero。
2、只满足一半条件，应计入条数=0
· 不利位置边缘牌但 fold
· 有利位置边缘入池</t>
        </is>
      </c>
      <c r="M481" s="8" t="inlineStr">
        <is>
          <t>1、上传素材，生成复盘报告，等到能打开。
2、打开「不利位置边缘牌入池」，检查是否为0。</t>
        </is>
      </c>
      <c r="N481" s="8" t="inlineStr">
        <is>
          <t>不利位置边缘牌入池=0</t>
        </is>
      </c>
      <c r="O481" s="8" t="inlineStr">
        <is>
          <t>timeline_stats.oop_marginal_entry_count</t>
        </is>
      </c>
      <c r="P481" s="10" t="inlineStr">
        <is>
          <t>未执行</t>
        </is>
      </c>
      <c r="Q481" s="10" t="inlineStr"/>
      <c r="R481" s="11" t="inlineStr"/>
    </row>
    <row r="482" ht="72" customHeight="1">
      <c r="A482" s="5" t="inlineStr">
        <is>
          <t>TC-RPT-478</t>
        </is>
      </c>
      <c r="B482" s="5" t="inlineStr">
        <is>
          <t>emotion_node_hand_range</t>
        </is>
      </c>
      <c r="C482" s="5" t="inlineStr">
        <is>
          <t>节点手牌区间</t>
        </is>
      </c>
      <c r="D482" s="13" t="inlineStr">
        <is>
          <t>P1</t>
        </is>
      </c>
      <c r="E482" s="7" t="inlineStr">
        <is>
          <t>等价类划分法</t>
        </is>
      </c>
      <c r="F482" s="7" t="inlineStr">
        <is>
          <t>心态波动</t>
        </is>
      </c>
      <c r="G482" s="7" t="inlineStr">
        <is>
          <t>是</t>
        </is>
      </c>
      <c r="H482" s="8" t="inlineStr">
        <is>
          <t>节点发生的时间或手牌范围</t>
        </is>
      </c>
      <c r="I482" s="8" t="inlineStr">
        <is>
          <t>第 X～Y 手牌，以及视频时间段</t>
        </is>
      </c>
      <c r="J482" s="8" t="inlineStr">
        <is>
          <t>节点手牌区间正例-心态节点对应手牌区间</t>
        </is>
      </c>
      <c r="K482" s="9" t="inlineStr">
        <is>
          <t>正例</t>
        </is>
      </c>
      <c r="L482" s="8" t="inlineStr">
        <is>
          <t>1、已登录，当前用户是 Hero。只用正例场。
2、素材里按口径手算「节点手牌区间」=n</t>
        </is>
      </c>
      <c r="M482" s="8" t="inlineStr">
        <is>
          <t>1、上传素材，生成复盘报告，等到能打开。
2、打开「节点手牌区间」，检查是否为n。</t>
        </is>
      </c>
      <c r="N482" s="8" t="inlineStr">
        <is>
          <t>节点手牌区间=n</t>
        </is>
      </c>
      <c r="O482" s="8" t="inlineStr">
        <is>
          <t>timeline_stats.emotion_node_hand_range</t>
        </is>
      </c>
      <c r="P482" s="10" t="inlineStr">
        <is>
          <t>未执行</t>
        </is>
      </c>
      <c r="Q482" s="10" t="inlineStr"/>
      <c r="R482" s="11" t="inlineStr"/>
    </row>
    <row r="483" ht="72" customHeight="1">
      <c r="A483" s="5" t="inlineStr">
        <is>
          <t>TC-RPT-479</t>
        </is>
      </c>
      <c r="B483" s="5" t="inlineStr">
        <is>
          <t>emotion_node_hand_range</t>
        </is>
      </c>
      <c r="C483" s="5" t="inlineStr">
        <is>
          <t>节点手牌区间</t>
        </is>
      </c>
      <c r="D483" s="13" t="inlineStr">
        <is>
          <t>P1</t>
        </is>
      </c>
      <c r="E483" s="7" t="inlineStr">
        <is>
          <t>等价类划分法</t>
        </is>
      </c>
      <c r="F483" s="7" t="inlineStr">
        <is>
          <t>心态波动</t>
        </is>
      </c>
      <c r="G483" s="7" t="inlineStr">
        <is>
          <t>是</t>
        </is>
      </c>
      <c r="H483" s="8" t="inlineStr">
        <is>
          <t>节点发生的时间或手牌范围</t>
        </is>
      </c>
      <c r="I483" s="8" t="inlineStr">
        <is>
          <t>第 X～Y 手牌，以及视频时间段</t>
        </is>
      </c>
      <c r="J483" s="8" t="inlineStr">
        <is>
          <t>节点手牌区间反例-无依据画心态节点</t>
        </is>
      </c>
      <c r="K483" s="12" t="inlineStr">
        <is>
          <t>反例</t>
        </is>
      </c>
      <c r="L483" s="8" t="inlineStr">
        <is>
          <t>1、已登录，当前用户是 Hero。准备下列不该计入的素材。
2、无依据画心态节点，「节点手牌区间」仍=n</t>
        </is>
      </c>
      <c r="M483" s="8" t="inlineStr">
        <is>
          <t>1、上传素材，生成复盘报告，等到能打开。
2、打开「节点手牌区间」，检查是否为n。</t>
        </is>
      </c>
      <c r="N483" s="8" t="inlineStr">
        <is>
          <t>节点手牌区间=n</t>
        </is>
      </c>
      <c r="O483" s="8" t="inlineStr">
        <is>
          <t>timeline_stats.emotion_node_hand_range</t>
        </is>
      </c>
      <c r="P483" s="10" t="inlineStr">
        <is>
          <t>未执行</t>
        </is>
      </c>
      <c r="Q483" s="10" t="inlineStr"/>
      <c r="R483" s="11" t="inlineStr"/>
    </row>
    <row r="484" ht="72" customHeight="1">
      <c r="A484" s="5" t="inlineStr">
        <is>
          <t>TC-RPT-480</t>
        </is>
      </c>
      <c r="B484" s="5" t="inlineStr">
        <is>
          <t>emotion_node_hand_range</t>
        </is>
      </c>
      <c r="C484" s="5" t="inlineStr">
        <is>
          <t>节点手牌区间</t>
        </is>
      </c>
      <c r="D484" s="13" t="inlineStr">
        <is>
          <t>P1</t>
        </is>
      </c>
      <c r="E484" s="7" t="inlineStr">
        <is>
          <t>错误推断法</t>
        </is>
      </c>
      <c r="F484" s="7" t="inlineStr">
        <is>
          <t>心态波动</t>
        </is>
      </c>
      <c r="G484" s="7" t="inlineStr">
        <is>
          <t>是</t>
        </is>
      </c>
      <c r="H484" s="8" t="inlineStr">
        <is>
          <t>节点发生的时间或手牌范围</t>
        </is>
      </c>
      <c r="I484" s="8" t="inlineStr">
        <is>
          <t>第 X～Y 手牌，以及视频时间段</t>
        </is>
      </c>
      <c r="J484" s="8" t="inlineStr">
        <is>
          <t>节点手牌区间反例-源数据缺失不得编造</t>
        </is>
      </c>
      <c r="K484" s="12" t="inlineStr">
        <is>
          <t>反例</t>
        </is>
      </c>
      <c r="L484" s="8" t="inlineStr">
        <is>
          <t>1、已登录。本条只跑缺失场。
2、本场缺少「节点手牌区间」源数据。没有时间顺序或没有波动依据：模块 omit，不得编区间。</t>
        </is>
      </c>
      <c r="M484" s="8" t="inlineStr">
        <is>
          <t>1、上传素材，生成复盘报告，等到能打开。
2、打开「节点手牌区间」，检查是否为空或不出现。</t>
        </is>
      </c>
      <c r="N484" s="8" t="inlineStr">
        <is>
          <t>节点手牌区间为空或不出现</t>
        </is>
      </c>
      <c r="O484" s="8" t="inlineStr">
        <is>
          <t>timeline_stats.emotion_node_hand_range</t>
        </is>
      </c>
      <c r="P484" s="10" t="inlineStr">
        <is>
          <t>未执行</t>
        </is>
      </c>
      <c r="Q484" s="10" t="inlineStr"/>
      <c r="R484" s="11" t="inlineStr"/>
    </row>
    <row r="485" ht="72" customHeight="1">
      <c r="A485" s="5" t="inlineStr">
        <is>
          <t>TC-RPT-481</t>
        </is>
      </c>
      <c r="B485" s="5" t="inlineStr">
        <is>
          <t>PROD-cumulative_net_profit</t>
        </is>
      </c>
      <c r="C485" s="5" t="inlineStr">
        <is>
          <t>累计净盈亏</t>
        </is>
      </c>
      <c r="D485" s="6" t="inlineStr">
        <is>
          <t>P0</t>
        </is>
      </c>
      <c r="E485" s="7" t="inlineStr">
        <is>
          <t>场景设计法</t>
        </is>
      </c>
      <c r="F485" s="7" t="inlineStr">
        <is>
          <t>场次列表</t>
        </is>
      </c>
      <c r="G485" s="7" t="inlineStr">
        <is>
          <t>是</t>
        </is>
      </c>
      <c r="H485" s="8" t="inlineStr">
        <is>
          <t>按盲注级别汇总同级别所有场次单手净盈亏之和</t>
        </is>
      </c>
      <c r="I485" s="8" t="inlineStr">
        <is>
          <t>Σ同级别场次净盈亏</t>
        </is>
      </c>
      <c r="J485" s="8" t="inlineStr">
        <is>
          <t>累计净盈亏正例-同级别盲注场次盈亏加总</t>
        </is>
      </c>
      <c r="K485" s="9" t="inlineStr">
        <is>
          <t>正例</t>
        </is>
      </c>
      <c r="L485" s="8" t="inlineStr">
        <is>
          <t>1、已登录 App。
2、盲注1/2有两场：场次净盈亏+500、-150。同级别累计净盈亏=350</t>
        </is>
      </c>
      <c r="M485" s="8" t="inlineStr">
        <is>
          <t>1、已登录 App，进入复盘列表或账户相关页面。
2、打开「累计净盈亏」，检查是否为350。</t>
        </is>
      </c>
      <c r="N485" s="8" t="inlineStr">
        <is>
          <t>累计净盈亏=350</t>
        </is>
      </c>
      <c r="O485" s="8" t="inlineStr">
        <is>
          <t>app.blind_level.cumulative_net_profit</t>
        </is>
      </c>
      <c r="P485" s="10" t="inlineStr">
        <is>
          <t>未执行</t>
        </is>
      </c>
      <c r="Q485" s="10" t="inlineStr"/>
      <c r="R485" s="11" t="inlineStr"/>
    </row>
    <row r="486" ht="72" customHeight="1">
      <c r="A486" s="5" t="inlineStr">
        <is>
          <t>TC-RPT-482</t>
        </is>
      </c>
      <c r="B486" s="5" t="inlineStr">
        <is>
          <t>PROD-winning_sessions</t>
        </is>
      </c>
      <c r="C486" s="5" t="inlineStr">
        <is>
          <t>盈利场次</t>
        </is>
      </c>
      <c r="D486" s="6" t="inlineStr">
        <is>
          <t>P0</t>
        </is>
      </c>
      <c r="E486" s="7" t="inlineStr">
        <is>
          <t>场景设计法</t>
        </is>
      </c>
      <c r="F486" s="7" t="inlineStr">
        <is>
          <t>场次列表</t>
        </is>
      </c>
      <c r="G486" s="7" t="inlineStr">
        <is>
          <t>是</t>
        </is>
      </c>
      <c r="H486" s="8" t="inlineStr">
        <is>
          <t>场次净盈亏&gt;0 的有效完成场次数</t>
        </is>
      </c>
      <c r="I486" s="8" t="inlineStr">
        <is>
          <t>count(场次净盈亏&gt;0)</t>
        </is>
      </c>
      <c r="J486" s="8" t="inlineStr">
        <is>
          <t>盈利场次正例-仅净盈亏大于0的完成场次</t>
        </is>
      </c>
      <c r="K486" s="9" t="inlineStr">
        <is>
          <t>正例</t>
        </is>
      </c>
      <c r="L486" s="8" t="inlineStr">
        <is>
          <t>1、已登录 App。
2、盲注1/2有3个完成场次：净盈亏+500、-150、0。盈利场次=1</t>
        </is>
      </c>
      <c r="M486" s="8" t="inlineStr">
        <is>
          <t>1、已登录 App，进入复盘列表或账户相关页面。
2、打开「盈利场次」，检查是否为1。</t>
        </is>
      </c>
      <c r="N486" s="8" t="inlineStr">
        <is>
          <t>盈利场次=1（仅+500；-150与0不计）</t>
        </is>
      </c>
      <c r="O486" s="8" t="inlineStr">
        <is>
          <t>app.session_list.winning_sessions</t>
        </is>
      </c>
      <c r="P486" s="10" t="inlineStr">
        <is>
          <t>未执行</t>
        </is>
      </c>
      <c r="Q486" s="10" t="inlineStr"/>
      <c r="R486" s="11" t="inlineStr"/>
    </row>
    <row r="487" ht="72" customHeight="1">
      <c r="A487" s="5" t="inlineStr">
        <is>
          <t>TC-RPT-483</t>
        </is>
      </c>
      <c r="B487" s="5" t="inlineStr">
        <is>
          <t>PROD-winning_sessions</t>
        </is>
      </c>
      <c r="C487" s="5" t="inlineStr">
        <is>
          <t>盈利场次</t>
        </is>
      </c>
      <c r="D487" s="6" t="inlineStr">
        <is>
          <t>P0</t>
        </is>
      </c>
      <c r="E487" s="7" t="inlineStr">
        <is>
          <t>场景设计法</t>
        </is>
      </c>
      <c r="F487" s="7" t="inlineStr">
        <is>
          <t>场次列表</t>
        </is>
      </c>
      <c r="G487" s="7" t="inlineStr">
        <is>
          <t>是</t>
        </is>
      </c>
      <c r="H487" s="8" t="inlineStr">
        <is>
          <t>场次净盈亏&gt;0 的有效完成场次数</t>
        </is>
      </c>
      <c r="I487" s="8" t="inlineStr">
        <is>
          <t>count(场次净盈亏&gt;0)</t>
        </is>
      </c>
      <c r="J487" s="8" t="inlineStr">
        <is>
          <t>盈利场次反例-解析失败与生成中场次不计</t>
        </is>
      </c>
      <c r="K487" s="12" t="inlineStr">
        <is>
          <t>反例</t>
        </is>
      </c>
      <c r="L487" s="8" t="inlineStr">
        <is>
          <t>1、已登录 App。
2、盲注1/2：1个完成场次净盈亏+500；1个解析失败；1个生成中（显示+200）。盈利场次仍=1</t>
        </is>
      </c>
      <c r="M487" s="8" t="inlineStr">
        <is>
          <t>1、已登录 App，进入复盘列表或账户相关页面。
2、打开「盈利场次」，检查是否为1。</t>
        </is>
      </c>
      <c r="N487" s="8" t="inlineStr">
        <is>
          <t>盈利场次=1</t>
        </is>
      </c>
      <c r="O487" s="8" t="inlineStr">
        <is>
          <t>app.session_list.winning_sessions</t>
        </is>
      </c>
      <c r="P487" s="10" t="inlineStr">
        <is>
          <t>未执行</t>
        </is>
      </c>
      <c r="Q487" s="10" t="inlineStr"/>
      <c r="R487" s="11" t="inlineStr"/>
    </row>
    <row r="488" ht="72" customHeight="1">
      <c r="A488" s="5" t="inlineStr">
        <is>
          <t>TC-RPT-484</t>
        </is>
      </c>
      <c r="B488" s="5" t="inlineStr">
        <is>
          <t>PROD-total_sessions</t>
        </is>
      </c>
      <c r="C488" s="5" t="inlineStr">
        <is>
          <t>累计场次</t>
        </is>
      </c>
      <c r="D488" s="6" t="inlineStr">
        <is>
          <t>P0</t>
        </is>
      </c>
      <c r="E488" s="7" t="inlineStr">
        <is>
          <t>场景设计法</t>
        </is>
      </c>
      <c r="F488" s="7" t="inlineStr">
        <is>
          <t>场次列表</t>
        </is>
      </c>
      <c r="G488" s="7" t="inlineStr">
        <is>
          <t>是</t>
        </is>
      </c>
      <c r="H488" s="8" t="inlineStr">
        <is>
          <t>有效场次数，按 sessionId 去重</t>
        </is>
      </c>
      <c r="I488" s="8" t="inlineStr">
        <is>
          <t>countDistinct(sessionId)</t>
        </is>
      </c>
      <c r="J488" s="8" t="inlineStr">
        <is>
          <t>累计场次正例-sessionId去重后计数</t>
        </is>
      </c>
      <c r="K488" s="9" t="inlineStr">
        <is>
          <t>正例</t>
        </is>
      </c>
      <c r="L488" s="8" t="inlineStr">
        <is>
          <t>1、已登录 App。
2、盲注1/2有3个完成场次，其中1个sessionId重复上传2次。累计场次=3</t>
        </is>
      </c>
      <c r="M488" s="8" t="inlineStr">
        <is>
          <t>1、已登录 App，进入复盘列表或账户相关页面。
2、打开「累计场次」，检查是否为3。</t>
        </is>
      </c>
      <c r="N488" s="8" t="inlineStr">
        <is>
          <t>累计场次=3</t>
        </is>
      </c>
      <c r="O488" s="8" t="inlineStr">
        <is>
          <t>app.session_list.total_sessions</t>
        </is>
      </c>
      <c r="P488" s="10" t="inlineStr">
        <is>
          <t>未执行</t>
        </is>
      </c>
      <c r="Q488" s="10" t="inlineStr"/>
      <c r="R488" s="11" t="inlineStr"/>
    </row>
    <row r="489" ht="72" customHeight="1">
      <c r="A489" s="5" t="inlineStr">
        <is>
          <t>TC-RPT-485</t>
        </is>
      </c>
      <c r="B489" s="5" t="inlineStr">
        <is>
          <t>PROD-total_sessions</t>
        </is>
      </c>
      <c r="C489" s="5" t="inlineStr">
        <is>
          <t>累计场次</t>
        </is>
      </c>
      <c r="D489" s="6" t="inlineStr">
        <is>
          <t>P0</t>
        </is>
      </c>
      <c r="E489" s="7" t="inlineStr">
        <is>
          <t>场景设计法</t>
        </is>
      </c>
      <c r="F489" s="7" t="inlineStr">
        <is>
          <t>场次列表</t>
        </is>
      </c>
      <c r="G489" s="7" t="inlineStr">
        <is>
          <t>是</t>
        </is>
      </c>
      <c r="H489" s="8" t="inlineStr">
        <is>
          <t>有效场次数，按 sessionId 去重</t>
        </is>
      </c>
      <c r="I489" s="8" t="inlineStr">
        <is>
          <t>countDistinct(sessionId)</t>
        </is>
      </c>
      <c r="J489" s="8" t="inlineStr">
        <is>
          <t>累计场次反例-失败与生成中场次不计</t>
        </is>
      </c>
      <c r="K489" s="12" t="inlineStr">
        <is>
          <t>反例</t>
        </is>
      </c>
      <c r="L489" s="8" t="inlineStr">
        <is>
          <t>1、已登录 App。
2、盲注1/2：2个完成场次、1个解析失败、1个生成中。累计场次=2</t>
        </is>
      </c>
      <c r="M489" s="8" t="inlineStr">
        <is>
          <t>1、已登录 App，进入复盘列表或账户相关页面。
2、打开「累计场次」，检查是否为2。</t>
        </is>
      </c>
      <c r="N489" s="8" t="inlineStr">
        <is>
          <t>累计场次=2</t>
        </is>
      </c>
      <c r="O489" s="8" t="inlineStr">
        <is>
          <t>app.session_list.total_sessions</t>
        </is>
      </c>
      <c r="P489" s="10" t="inlineStr">
        <is>
          <t>未执行</t>
        </is>
      </c>
      <c r="Q489" s="10" t="inlineStr"/>
      <c r="R489" s="11" t="inlineStr"/>
    </row>
    <row r="490" ht="72" customHeight="1">
      <c r="A490" s="5" t="inlineStr">
        <is>
          <t>TC-RPT-486</t>
        </is>
      </c>
      <c r="B490" s="5" t="inlineStr">
        <is>
          <t>PROD-total_hands_agg</t>
        </is>
      </c>
      <c r="C490" s="5" t="inlineStr">
        <is>
          <t>累计手数</t>
        </is>
      </c>
      <c r="D490" s="6" t="inlineStr">
        <is>
          <t>P0</t>
        </is>
      </c>
      <c r="E490" s="7" t="inlineStr">
        <is>
          <t>场景设计法</t>
        </is>
      </c>
      <c r="F490" s="7" t="inlineStr">
        <is>
          <t>场次列表</t>
        </is>
      </c>
      <c r="G490" s="7" t="inlineStr">
        <is>
          <t>是</t>
        </is>
      </c>
      <c r="H490" s="8" t="inlineStr">
        <is>
          <t>有效手牌数，按 handId 去重</t>
        </is>
      </c>
      <c r="I490" s="8" t="inlineStr">
        <is>
          <t>countDistinct(handId)</t>
        </is>
      </c>
      <c r="J490" s="8" t="inlineStr">
        <is>
          <t>累计手数正例-handId去重后计数</t>
        </is>
      </c>
      <c r="K490" s="9" t="inlineStr">
        <is>
          <t>正例</t>
        </is>
      </c>
      <c r="L490" s="8" t="inlineStr">
        <is>
          <t>1、已登录 App。
2、盲注1/2两场完成：手数80、120，无重复handId。累计手数=200</t>
        </is>
      </c>
      <c r="M490" s="8" t="inlineStr">
        <is>
          <t>1、已登录 App，进入复盘列表或账户相关页面。
2、打开「累计手数」，检查是否为200。</t>
        </is>
      </c>
      <c r="N490" s="8" t="inlineStr">
        <is>
          <t>累计手数=200</t>
        </is>
      </c>
      <c r="O490" s="8" t="inlineStr">
        <is>
          <t>app.session_list.total_hands</t>
        </is>
      </c>
      <c r="P490" s="10" t="inlineStr">
        <is>
          <t>未执行</t>
        </is>
      </c>
      <c r="Q490" s="10" t="inlineStr"/>
      <c r="R490" s="11" t="inlineStr"/>
    </row>
    <row r="491" ht="72" customHeight="1">
      <c r="A491" s="5" t="inlineStr">
        <is>
          <t>TC-RPT-487</t>
        </is>
      </c>
      <c r="B491" s="5" t="inlineStr">
        <is>
          <t>PROD-total_hands_agg</t>
        </is>
      </c>
      <c r="C491" s="5" t="inlineStr">
        <is>
          <t>累计手数</t>
        </is>
      </c>
      <c r="D491" s="6" t="inlineStr">
        <is>
          <t>P0</t>
        </is>
      </c>
      <c r="E491" s="7" t="inlineStr">
        <is>
          <t>场景设计法</t>
        </is>
      </c>
      <c r="F491" s="7" t="inlineStr">
        <is>
          <t>场次列表</t>
        </is>
      </c>
      <c r="G491" s="7" t="inlineStr">
        <is>
          <t>是</t>
        </is>
      </c>
      <c r="H491" s="8" t="inlineStr">
        <is>
          <t>有效手牌数，按 handId 去重</t>
        </is>
      </c>
      <c r="I491" s="8" t="inlineStr">
        <is>
          <t>countDistinct(handId)</t>
        </is>
      </c>
      <c r="J491" s="8" t="inlineStr">
        <is>
          <t>累计手数正例-净盈亏为0的手仍算有效</t>
        </is>
      </c>
      <c r="K491" s="9" t="inlineStr">
        <is>
          <t>正例</t>
        </is>
      </c>
      <c r="L491" s="8" t="inlineStr">
        <is>
          <t>1、已登录 App。
2、盲注1/2累计100手有效，其中5手净盈亏=0。累计手数=100</t>
        </is>
      </c>
      <c r="M491" s="8" t="inlineStr">
        <is>
          <t>1、已登录 App，进入复盘列表或账户相关页面。
2、打开「累计手数」，检查是否为100。</t>
        </is>
      </c>
      <c r="N491" s="8" t="inlineStr">
        <is>
          <t>累计手数=100</t>
        </is>
      </c>
      <c r="O491" s="8" t="inlineStr">
        <is>
          <t>app.session_list.total_hands</t>
        </is>
      </c>
      <c r="P491" s="10" t="inlineStr">
        <is>
          <t>未执行</t>
        </is>
      </c>
      <c r="Q491" s="10" t="inlineStr"/>
      <c r="R491" s="11" t="inlineStr"/>
    </row>
    <row r="492" ht="72" customHeight="1">
      <c r="A492" s="5" t="inlineStr">
        <is>
          <t>TC-RPT-488</t>
        </is>
      </c>
      <c r="B492" s="5" t="inlineStr">
        <is>
          <t>PROD-total_hands_agg</t>
        </is>
      </c>
      <c r="C492" s="5" t="inlineStr">
        <is>
          <t>累计手数</t>
        </is>
      </c>
      <c r="D492" s="6" t="inlineStr">
        <is>
          <t>P0</t>
        </is>
      </c>
      <c r="E492" s="7" t="inlineStr">
        <is>
          <t>场景设计法</t>
        </is>
      </c>
      <c r="F492" s="7" t="inlineStr">
        <is>
          <t>场次列表</t>
        </is>
      </c>
      <c r="G492" s="7" t="inlineStr">
        <is>
          <t>是</t>
        </is>
      </c>
      <c r="H492" s="8" t="inlineStr">
        <is>
          <t>有效手牌数，按 handId 去重</t>
        </is>
      </c>
      <c r="I492" s="8" t="inlineStr">
        <is>
          <t>countDistinct(handId)</t>
        </is>
      </c>
      <c r="J492" s="8" t="inlineStr">
        <is>
          <t>累计手数反例-未结算重复Hero未识别手排除</t>
        </is>
      </c>
      <c r="K492" s="12" t="inlineStr">
        <is>
          <t>反例</t>
        </is>
      </c>
      <c r="L492" s="8" t="inlineStr">
        <is>
          <t>1、已登录 App。
2、完成场次90手有效；另有10手未结算、5手Hero未识别、3手重复。累计手数=90</t>
        </is>
      </c>
      <c r="M492" s="8" t="inlineStr">
        <is>
          <t>1、已登录 App，进入复盘列表或账户相关页面。
2、打开「累计手数」，检查是否为90。</t>
        </is>
      </c>
      <c r="N492" s="8" t="inlineStr">
        <is>
          <t>累计手数=90</t>
        </is>
      </c>
      <c r="O492" s="8" t="inlineStr">
        <is>
          <t>app.session_list.total_hands</t>
        </is>
      </c>
      <c r="P492" s="10" t="inlineStr">
        <is>
          <t>未执行</t>
        </is>
      </c>
      <c r="Q492" s="10" t="inlineStr"/>
      <c r="R492" s="11" t="inlineStr"/>
    </row>
    <row r="493" ht="72" customHeight="1">
      <c r="A493" s="5" t="inlineStr">
        <is>
          <t>TC-RPT-489</t>
        </is>
      </c>
      <c r="B493" s="5" t="inlineStr">
        <is>
          <t>PROD-session_net_profit</t>
        </is>
      </c>
      <c r="C493" s="5" t="inlineStr">
        <is>
          <t>场次净盈亏</t>
        </is>
      </c>
      <c r="D493" s="6" t="inlineStr">
        <is>
          <t>P0</t>
        </is>
      </c>
      <c r="E493" s="7" t="inlineStr">
        <is>
          <t>场景设计法</t>
        </is>
      </c>
      <c r="F493" s="7" t="inlineStr">
        <is>
          <t>场次列表</t>
        </is>
      </c>
      <c r="G493" s="7" t="inlineStr">
        <is>
          <t>是</t>
        </is>
      </c>
      <c r="H493" s="8" t="inlineStr">
        <is>
          <t>该场所有有效手牌净盈亏之和，报告完成后冻结</t>
        </is>
      </c>
      <c r="I493" s="8" t="inlineStr">
        <is>
          <t>Σ该场有效手牌净盈亏</t>
        </is>
      </c>
      <c r="J493" s="8" t="inlineStr">
        <is>
          <t>场次净盈亏正例-该场有效手牌盈亏求和</t>
        </is>
      </c>
      <c r="K493" s="9" t="inlineStr">
        <is>
          <t>正例</t>
        </is>
      </c>
      <c r="L493" s="8" t="inlineStr">
        <is>
          <t>1、已登录 App。
2、场次A含3手有效：单手净盈亏+200、-100、+50。场次净盈亏=150</t>
        </is>
      </c>
      <c r="M493" s="8" t="inlineStr">
        <is>
          <t>1、上传素材，生成复盘报告，等到能打开。
2、打开场次A总览/最近复盘卡，检查「场次净盈亏」是否为150。</t>
        </is>
      </c>
      <c r="N493" s="8" t="inlineStr">
        <is>
          <t>场次净盈亏=150</t>
        </is>
      </c>
      <c r="O493" s="8" t="inlineStr">
        <is>
          <t>app.session.session_net_profit</t>
        </is>
      </c>
      <c r="P493" s="10" t="inlineStr">
        <is>
          <t>未执行</t>
        </is>
      </c>
      <c r="Q493" s="10" t="inlineStr"/>
      <c r="R493" s="11" t="inlineStr"/>
    </row>
    <row r="494" ht="72" customHeight="1">
      <c r="A494" s="5" t="inlineStr">
        <is>
          <t>TC-RPT-490</t>
        </is>
      </c>
      <c r="B494" s="5" t="inlineStr">
        <is>
          <t>PROD-session_net_profit</t>
        </is>
      </c>
      <c r="C494" s="5" t="inlineStr">
        <is>
          <t>场次净盈亏</t>
        </is>
      </c>
      <c r="D494" s="6" t="inlineStr">
        <is>
          <t>P0</t>
        </is>
      </c>
      <c r="E494" s="7" t="inlineStr">
        <is>
          <t>场景设计法</t>
        </is>
      </c>
      <c r="F494" s="7" t="inlineStr">
        <is>
          <t>场次列表</t>
        </is>
      </c>
      <c r="G494" s="7" t="inlineStr">
        <is>
          <t>是</t>
        </is>
      </c>
      <c r="H494" s="8" t="inlineStr">
        <is>
          <t>该场所有有效手牌净盈亏之和，报告完成后冻结</t>
        </is>
      </c>
      <c r="I494" s="8" t="inlineStr">
        <is>
          <t>Σ该场有效手牌净盈亏</t>
        </is>
      </c>
      <c r="J494" s="8" t="inlineStr">
        <is>
          <t>场次净盈亏正例-报告完成后冻结不变</t>
        </is>
      </c>
      <c r="K494" s="9" t="inlineStr">
        <is>
          <t>正例</t>
        </is>
      </c>
      <c r="L494" s="8" t="inlineStr">
        <is>
          <t>1、已登录 App。
2、场次A已完成冻结，场次净盈亏=150。之后触发重新分析生成新版本</t>
        </is>
      </c>
      <c r="M494" s="8" t="inlineStr">
        <is>
          <t>1、打开场次A旧报告。
2、检查「场次净盈亏」是否仍为150（不随新分析静默改变）。</t>
        </is>
      </c>
      <c r="N494" s="8" t="inlineStr">
        <is>
          <t>旧报告场次净盈亏仍=150</t>
        </is>
      </c>
      <c r="O494" s="8" t="inlineStr">
        <is>
          <t>app.session.session_net_profit</t>
        </is>
      </c>
      <c r="P494" s="10" t="inlineStr">
        <is>
          <t>未执行</t>
        </is>
      </c>
      <c r="Q494" s="10" t="inlineStr"/>
      <c r="R494" s="11" t="inlineStr"/>
    </row>
    <row r="495" ht="72" customHeight="1">
      <c r="A495" s="5" t="inlineStr">
        <is>
          <t>TC-RPT-491</t>
        </is>
      </c>
      <c r="B495" s="5" t="inlineStr">
        <is>
          <t>PROD-position_hands_check</t>
        </is>
      </c>
      <c r="C495" s="5" t="inlineStr">
        <is>
          <t>位置相关手数校验</t>
        </is>
      </c>
      <c r="D495" s="13" t="inlineStr">
        <is>
          <t>P1</t>
        </is>
      </c>
      <c r="E495" s="7" t="inlineStr">
        <is>
          <t>场景设计法</t>
        </is>
      </c>
      <c r="F495" s="7" t="inlineStr">
        <is>
          <t>场次列表</t>
        </is>
      </c>
      <c r="G495" s="7" t="inlineStr">
        <is>
          <t>内部</t>
        </is>
      </c>
      <c r="H495" s="8" t="inlineStr">
        <is>
          <t>各位置手数合计+未识别差额=累计手数</t>
        </is>
      </c>
      <c r="I495" s="8" t="inlineStr">
        <is>
          <t>Σ位置手数+未识别=累计手数</t>
        </is>
      </c>
      <c r="J495" s="8" t="inlineStr">
        <is>
          <t>位置相关手数正例-各位置加未识别等于累计手数</t>
        </is>
      </c>
      <c r="K495" s="9" t="inlineStr">
        <is>
          <t>正例</t>
        </is>
      </c>
      <c r="L495" s="8" t="inlineStr">
        <is>
          <t>1、已登录 App。
2、盲注1/2各位置手数合计=a，未识别差额=b，累计手数=200。应满足a+b=200</t>
        </is>
      </c>
      <c r="M495" s="8" t="inlineStr">
        <is>
          <t>1、已登录 App，进入复盘列表或账户相关页面。
2、打开「位置相关手数校验」，检查是否为a+b=200。</t>
        </is>
      </c>
      <c r="N495" s="8" t="inlineStr">
        <is>
          <t>各位置手数合计+未识别差额=累计手数200</t>
        </is>
      </c>
      <c r="O495" s="8" t="inlineStr">
        <is>
          <t>app.blind_level.position_hands_check</t>
        </is>
      </c>
      <c r="P495" s="10" t="inlineStr">
        <is>
          <t>未执行</t>
        </is>
      </c>
      <c r="Q495" s="10" t="inlineStr"/>
      <c r="R495" s="11" t="inlineStr"/>
    </row>
    <row r="496" ht="72" customHeight="1">
      <c r="A496" s="5" t="inlineStr">
        <is>
          <t>TC-RPT-492</t>
        </is>
      </c>
      <c r="B496" s="5" t="inlineStr">
        <is>
          <t>PROD-position_hands_check</t>
        </is>
      </c>
      <c r="C496" s="5" t="inlineStr">
        <is>
          <t>位置相关手数校验</t>
        </is>
      </c>
      <c r="D496" s="13" t="inlineStr">
        <is>
          <t>P1</t>
        </is>
      </c>
      <c r="E496" s="7" t="inlineStr">
        <is>
          <t>边界值分析法</t>
        </is>
      </c>
      <c r="F496" s="7" t="inlineStr">
        <is>
          <t>场次列表</t>
        </is>
      </c>
      <c r="G496" s="7" t="inlineStr">
        <is>
          <t>内部</t>
        </is>
      </c>
      <c r="H496" s="8" t="inlineStr">
        <is>
          <t>各位置手数合计+未识别差额=累计手数</t>
        </is>
      </c>
      <c r="I496" s="8" t="inlineStr">
        <is>
          <t>Σ位置手数+未识别=累计手数</t>
        </is>
      </c>
      <c r="J496" s="8" t="inlineStr">
        <is>
          <t>位置相关手数正例-目标位置无手显示0或空</t>
        </is>
      </c>
      <c r="K496" s="9" t="inlineStr">
        <is>
          <t>正例</t>
        </is>
      </c>
      <c r="L496" s="8" t="inlineStr">
        <is>
          <t>1、已登录 App。
2、盲注1/2 Hero在HJ位0手，其他位置有手。HJ显示0或空，不影响合计</t>
        </is>
      </c>
      <c r="M496" s="8" t="inlineStr">
        <is>
          <t>1、已登录 App，进入复盘列表或账户相关页面。
2、打开「位置相关手数校验」，检查是否为HJ=0或空。</t>
        </is>
      </c>
      <c r="N496" s="8" t="inlineStr">
        <is>
          <t>位置相关手数校验=HJ=0或空</t>
        </is>
      </c>
      <c r="O496" s="8" t="inlineStr">
        <is>
          <t>app.blind_level.position_hands_check</t>
        </is>
      </c>
      <c r="P496" s="10" t="inlineStr">
        <is>
          <t>未执行</t>
        </is>
      </c>
      <c r="Q496" s="10" t="inlineStr"/>
      <c r="R496" s="11" t="inlineStr"/>
    </row>
    <row r="497" ht="72" customHeight="1">
      <c r="A497" s="5" t="inlineStr">
        <is>
          <t>TC-RPT-493</t>
        </is>
      </c>
      <c r="B497" s="5" t="inlineStr">
        <is>
          <t>PROD-position_profit_check</t>
        </is>
      </c>
      <c r="C497" s="5" t="inlineStr">
        <is>
          <t>位置净盈亏校验</t>
        </is>
      </c>
      <c r="D497" s="13" t="inlineStr">
        <is>
          <t>P1</t>
        </is>
      </c>
      <c r="E497" s="7" t="inlineStr">
        <is>
          <t>场景设计法</t>
        </is>
      </c>
      <c r="F497" s="7" t="inlineStr">
        <is>
          <t>场次列表</t>
        </is>
      </c>
      <c r="G497" s="7" t="inlineStr">
        <is>
          <t>内部</t>
        </is>
      </c>
      <c r="H497" s="8" t="inlineStr">
        <is>
          <t>各位置净盈亏+未识别差额=累计净盈亏</t>
        </is>
      </c>
      <c r="I497" s="8" t="inlineStr">
        <is>
          <t>Σ位置盈亏+未识别=累计净盈亏</t>
        </is>
      </c>
      <c r="J497" s="8" t="inlineStr">
        <is>
          <t>位置净盈亏正例-各位置加未识别等于累计净盈亏</t>
        </is>
      </c>
      <c r="K497" s="9" t="inlineStr">
        <is>
          <t>正例</t>
        </is>
      </c>
      <c r="L497" s="8" t="inlineStr">
        <is>
          <t>1、已登录 App。
2、盲注1/2各位置净盈亏合计=a，未识别差额=b，累计净盈亏=350。a+b=350</t>
        </is>
      </c>
      <c r="M497" s="8" t="inlineStr">
        <is>
          <t>1、已登录 App，进入复盘列表或账户相关页面。
2、打开「位置净盈亏校验」，检查是否为a+b=350。</t>
        </is>
      </c>
      <c r="N497" s="8" t="inlineStr">
        <is>
          <t>位置净盈亏校验=a+b=350</t>
        </is>
      </c>
      <c r="O497" s="8" t="inlineStr">
        <is>
          <t>app.blind_level.position_profit_check</t>
        </is>
      </c>
      <c r="P497" s="10" t="inlineStr">
        <is>
          <t>未执行</t>
        </is>
      </c>
      <c r="Q497" s="10" t="inlineStr"/>
      <c r="R497" s="11" t="inlineStr"/>
    </row>
    <row r="498" ht="72" customHeight="1">
      <c r="A498" s="5" t="inlineStr">
        <is>
          <t>TC-RPT-494</t>
        </is>
      </c>
      <c r="B498" s="5" t="inlineStr">
        <is>
          <t>PROD-position_profit_check</t>
        </is>
      </c>
      <c r="C498" s="5" t="inlineStr">
        <is>
          <t>位置净盈亏校验</t>
        </is>
      </c>
      <c r="D498" s="13" t="inlineStr">
        <is>
          <t>P1</t>
        </is>
      </c>
      <c r="E498" s="7" t="inlineStr">
        <is>
          <t>边界值分析法</t>
        </is>
      </c>
      <c r="F498" s="7" t="inlineStr">
        <is>
          <t>场次列表</t>
        </is>
      </c>
      <c r="G498" s="7" t="inlineStr">
        <is>
          <t>内部</t>
        </is>
      </c>
      <c r="H498" s="8" t="inlineStr">
        <is>
          <t>各位置净盈亏+未识别差额=累计净盈亏</t>
        </is>
      </c>
      <c r="I498" s="8" t="inlineStr">
        <is>
          <t>Σ位置盈亏+未识别=累计净盈亏</t>
        </is>
      </c>
      <c r="J498" s="8" t="inlineStr">
        <is>
          <t>位置净盈亏正例-目标位置无手显示0或空</t>
        </is>
      </c>
      <c r="K498" s="9" t="inlineStr">
        <is>
          <t>正例</t>
        </is>
      </c>
      <c r="L498" s="8" t="inlineStr">
        <is>
          <t>1、已登录 App。
2、盲注1/2某位置0手。该位置净盈亏=0或空</t>
        </is>
      </c>
      <c r="M498" s="8" t="inlineStr">
        <is>
          <t>1、已登录 App，进入复盘列表或账户相关页面。
2、打开「位置净盈亏校验」，检查是否为0或空。</t>
        </is>
      </c>
      <c r="N498" s="8" t="inlineStr">
        <is>
          <t>位置净盈亏校验=0或空</t>
        </is>
      </c>
      <c r="O498" s="8" t="inlineStr">
        <is>
          <t>app.blind_level.position_profit_check</t>
        </is>
      </c>
      <c r="P498" s="10" t="inlineStr">
        <is>
          <t>未执行</t>
        </is>
      </c>
      <c r="Q498" s="10" t="inlineStr"/>
      <c r="R498" s="11" t="inlineStr"/>
    </row>
    <row r="499" ht="72" customHeight="1">
      <c r="A499" s="5" t="inlineStr">
        <is>
          <t>TC-RPT-495</t>
        </is>
      </c>
      <c r="B499" s="5" t="inlineStr">
        <is>
          <t>PROD-bb_per_100</t>
        </is>
      </c>
      <c r="C499" s="5" t="inlineStr">
        <is>
          <t>BB/100</t>
        </is>
      </c>
      <c r="D499" s="13" t="inlineStr">
        <is>
          <t>P1</t>
        </is>
      </c>
      <c r="E499" s="7" t="inlineStr">
        <is>
          <t>场景设计法</t>
        </is>
      </c>
      <c r="F499" s="7" t="inlineStr">
        <is>
          <t>场次列表</t>
        </is>
      </c>
      <c r="G499" s="7" t="inlineStr">
        <is>
          <t>是</t>
        </is>
      </c>
      <c r="H499" s="8" t="inlineStr">
        <is>
          <t>跨盲注逐手换算 BB 后聚合</t>
        </is>
      </c>
      <c r="I499" s="8" t="inlineStr">
        <is>
          <t>Σ(单手盈亏BB)/手数×100</t>
        </is>
      </c>
      <c r="J499" s="8" t="inlineStr">
        <is>
          <t>BB/100正例-跨盲注逐手换算后聚合</t>
        </is>
      </c>
      <c r="K499" s="9" t="inlineStr">
        <is>
          <t>正例</t>
        </is>
      </c>
      <c r="L499" s="8" t="inlineStr">
        <is>
          <t>1、已登录 App。
2、盲注1/2与3/4各有完成场次，单手盈亏已换算BB。BB/100按产品公式聚合展示</t>
        </is>
      </c>
      <c r="M499" s="8" t="inlineStr">
        <is>
          <t>1、已登录 App，进入复盘列表或账户相关页面。
2、打开「BB/100」，检查是否为按手算与展示一致。</t>
        </is>
      </c>
      <c r="N499" s="8" t="inlineStr">
        <is>
          <t>BB/100=按手算与展示一致</t>
        </is>
      </c>
      <c r="O499" s="8" t="inlineStr">
        <is>
          <t>app.blind_level.bb_per_100</t>
        </is>
      </c>
      <c r="P499" s="10" t="inlineStr">
        <is>
          <t>未执行</t>
        </is>
      </c>
      <c r="Q499" s="10" t="inlineStr"/>
      <c r="R499" s="11" t="inlineStr"/>
    </row>
    <row r="500" ht="72" customHeight="1">
      <c r="A500" s="5" t="inlineStr">
        <is>
          <t>TC-RPT-496</t>
        </is>
      </c>
      <c r="B500" s="5" t="inlineStr">
        <is>
          <t>PROD-bb_per_100</t>
        </is>
      </c>
      <c r="C500" s="5" t="inlineStr">
        <is>
          <t>BB/100</t>
        </is>
      </c>
      <c r="D500" s="13" t="inlineStr">
        <is>
          <t>P1</t>
        </is>
      </c>
      <c r="E500" s="7" t="inlineStr">
        <is>
          <t>边界值分析法</t>
        </is>
      </c>
      <c r="F500" s="7" t="inlineStr">
        <is>
          <t>场次列表</t>
        </is>
      </c>
      <c r="G500" s="7" t="inlineStr">
        <is>
          <t>是</t>
        </is>
      </c>
      <c r="H500" s="8" t="inlineStr">
        <is>
          <t>跨盲注逐手换算 BB 后聚合</t>
        </is>
      </c>
      <c r="I500" s="8" t="inlineStr">
        <is>
          <t>Σ(单手盈亏BB)/手数×100</t>
        </is>
      </c>
      <c r="J500" s="8" t="inlineStr">
        <is>
          <t>BB/100正例-小样本显示标记</t>
        </is>
      </c>
      <c r="K500" s="9" t="inlineStr">
        <is>
          <t>正例</t>
        </is>
      </c>
      <c r="L500" s="8" t="inlineStr">
        <is>
          <t>1、已登录 App。
2、盲注级别仅2手有效。BB/100有值且带小样本标记（或按产品文案）</t>
        </is>
      </c>
      <c r="M500" s="8" t="inlineStr">
        <is>
          <t>1、已登录 App，进入复盘列表或账户相关页面。
2、打开「BB/100」，检查是否为有值且有小样本提示。</t>
        </is>
      </c>
      <c r="N500" s="8" t="inlineStr">
        <is>
          <t>BB/100=有值且有小样本提示</t>
        </is>
      </c>
      <c r="O500" s="8" t="inlineStr">
        <is>
          <t>app.blind_level.bb_per_100</t>
        </is>
      </c>
      <c r="P500" s="10" t="inlineStr">
        <is>
          <t>未执行</t>
        </is>
      </c>
      <c r="Q500" s="10" t="inlineStr"/>
      <c r="R500" s="11" t="inlineStr"/>
    </row>
    <row r="501" ht="72" customHeight="1">
      <c r="A501" s="5" t="inlineStr">
        <is>
          <t>TC-RPT-497</t>
        </is>
      </c>
      <c r="B501" s="5" t="inlineStr">
        <is>
          <t>PROD-bb_per_100</t>
        </is>
      </c>
      <c r="C501" s="5" t="inlineStr">
        <is>
          <t>BB/100</t>
        </is>
      </c>
      <c r="D501" s="13" t="inlineStr">
        <is>
          <t>P1</t>
        </is>
      </c>
      <c r="E501" s="7" t="inlineStr">
        <is>
          <t>边界值分析法</t>
        </is>
      </c>
      <c r="F501" s="7" t="inlineStr">
        <is>
          <t>场次列表</t>
        </is>
      </c>
      <c r="G501" s="7" t="inlineStr">
        <is>
          <t>是</t>
        </is>
      </c>
      <c r="H501" s="8" t="inlineStr">
        <is>
          <t>跨盲注逐手换算 BB 后聚合</t>
        </is>
      </c>
      <c r="I501" s="8" t="inlineStr">
        <is>
          <t>Σ(单手盈亏BB)/手数×100</t>
        </is>
      </c>
      <c r="J501" s="8" t="inlineStr">
        <is>
          <t>BB/100正例-0手显示破折号</t>
        </is>
      </c>
      <c r="K501" s="9" t="inlineStr">
        <is>
          <t>正例</t>
        </is>
      </c>
      <c r="L501" s="8" t="inlineStr">
        <is>
          <t>1、已登录 App。
2、盲注级别无有效手。BB/100显示—或空，不写0%</t>
        </is>
      </c>
      <c r="M501" s="8" t="inlineStr">
        <is>
          <t>1、已登录 App，进入复盘列表或账户相关页面。
2、打开「BB/100」，检查是否为—或空。</t>
        </is>
      </c>
      <c r="N501" s="8" t="inlineStr">
        <is>
          <t>BB/100=—或空</t>
        </is>
      </c>
      <c r="O501" s="8" t="inlineStr">
        <is>
          <t>app.blind_level.bb_per_100</t>
        </is>
      </c>
      <c r="P501" s="10" t="inlineStr">
        <is>
          <t>未执行</t>
        </is>
      </c>
      <c r="Q501" s="10" t="inlineStr"/>
      <c r="R501" s="11" t="inlineStr"/>
    </row>
    <row r="502" ht="72" customHeight="1">
      <c r="A502" s="5" t="inlineStr">
        <is>
          <t>TC-RPT-498</t>
        </is>
      </c>
      <c r="B502" s="5" t="inlineStr">
        <is>
          <t>PROD-session_filter_count</t>
        </is>
      </c>
      <c r="C502" s="5" t="inlineStr">
        <is>
          <t>复盘场次计数</t>
        </is>
      </c>
      <c r="D502" s="13" t="inlineStr">
        <is>
          <t>P1</t>
        </is>
      </c>
      <c r="E502" s="7" t="inlineStr">
        <is>
          <t>场景设计法</t>
        </is>
      </c>
      <c r="F502" s="7" t="inlineStr">
        <is>
          <t>场次列表</t>
        </is>
      </c>
      <c r="G502" s="7" t="inlineStr">
        <is>
          <t>是</t>
        </is>
      </c>
      <c r="H502" s="8" t="inlineStr">
        <is>
          <t>列表场次数量随盲注/完成类型筛选变化</t>
        </is>
      </c>
      <c r="I502" s="8" t="inlineStr">
        <is>
          <t>筛选后场次条数</t>
        </is>
      </c>
      <c r="J502" s="8" t="inlineStr">
        <is>
          <t>复盘场次计数正例-随盲注与完成类型筛选变化</t>
        </is>
      </c>
      <c r="K502" s="9" t="inlineStr">
        <is>
          <t>正例</t>
        </is>
      </c>
      <c r="L502" s="8" t="inlineStr">
        <is>
          <t>1、已登录 App。
2、盲注1/2有5场、3/4有3场；筛选1/2且仅完成应显示5</t>
        </is>
      </c>
      <c r="M502" s="8" t="inlineStr">
        <is>
          <t>1、已登录 App，进入复盘列表或账户相关页面。
2、打开「复盘场次计数」，检查是否为5。</t>
        </is>
      </c>
      <c r="N502" s="8" t="inlineStr">
        <is>
          <t>复盘场次计数=5</t>
        </is>
      </c>
      <c r="O502" s="8" t="inlineStr">
        <is>
          <t>app.session_list.filtered_count</t>
        </is>
      </c>
      <c r="P502" s="10" t="inlineStr">
        <is>
          <t>未执行</t>
        </is>
      </c>
      <c r="Q502" s="10" t="inlineStr"/>
      <c r="R502" s="11" t="inlineStr"/>
    </row>
    <row r="503" ht="72" customHeight="1">
      <c r="A503" s="5" t="inlineStr">
        <is>
          <t>TC-RPT-499</t>
        </is>
      </c>
      <c r="B503" s="5" t="inlineStr">
        <is>
          <t>PROD-mode_net_profit</t>
        </is>
      </c>
      <c r="C503" s="5" t="inlineStr">
        <is>
          <t>模式净盈亏</t>
        </is>
      </c>
      <c r="D503" s="13" t="inlineStr">
        <is>
          <t>P1</t>
        </is>
      </c>
      <c r="E503" s="7" t="inlineStr">
        <is>
          <t>场景设计法</t>
        </is>
      </c>
      <c r="F503" s="7" t="inlineStr">
        <is>
          <t>场次列表</t>
        </is>
      </c>
      <c r="G503" s="7" t="inlineStr">
        <is>
          <t>是</t>
        </is>
      </c>
      <c r="H503" s="8" t="inlineStr">
        <is>
          <t>当前游戏模式下场次净盈亏求和</t>
        </is>
      </c>
      <c r="I503" s="8" t="inlineStr">
        <is>
          <t>Σ模式内场次净盈亏</t>
        </is>
      </c>
      <c r="J503" s="8" t="inlineStr">
        <is>
          <t>模式净盈亏正例-当前模式场次盈亏求和</t>
        </is>
      </c>
      <c r="K503" s="9" t="inlineStr">
        <is>
          <t>正例</t>
        </is>
      </c>
      <c r="L503" s="8" t="inlineStr">
        <is>
          <t>1、已登录 App。
2、当前模式2场：场次净盈亏+300、-100。模式净盈亏=200</t>
        </is>
      </c>
      <c r="M503" s="8" t="inlineStr">
        <is>
          <t>1、已登录 App，进入复盘列表或账户相关页面。
2、打开「模式净盈亏」，检查是否为200。</t>
        </is>
      </c>
      <c r="N503" s="8" t="inlineStr">
        <is>
          <t>模式净盈亏=200</t>
        </is>
      </c>
      <c r="O503" s="8" t="inlineStr">
        <is>
          <t>app.mode.net_profit</t>
        </is>
      </c>
      <c r="P503" s="10" t="inlineStr">
        <is>
          <t>未执行</t>
        </is>
      </c>
      <c r="Q503" s="10" t="inlineStr"/>
      <c r="R503" s="11" t="inlineStr"/>
    </row>
    <row r="504" ht="72" customHeight="1">
      <c r="A504" s="5" t="inlineStr">
        <is>
          <t>TC-RPT-500</t>
        </is>
      </c>
      <c r="B504" s="5" t="inlineStr">
        <is>
          <t>PROD-duel_multi_hands</t>
        </is>
      </c>
      <c r="C504" s="5" t="inlineStr">
        <is>
          <t>单挑/多人手数</t>
        </is>
      </c>
      <c r="D504" s="13" t="inlineStr">
        <is>
          <t>P1</t>
        </is>
      </c>
      <c r="E504" s="7" t="inlineStr">
        <is>
          <t>场景设计法</t>
        </is>
      </c>
      <c r="F504" s="7" t="inlineStr">
        <is>
          <t>场次列表</t>
        </is>
      </c>
      <c r="G504" s="7" t="inlineStr">
        <is>
          <t>内部</t>
        </is>
      </c>
      <c r="H504" s="8" t="inlineStr">
        <is>
          <t>按竞争人数分类的单挑与多人底池手数</t>
        </is>
      </c>
      <c r="I504" s="8" t="inlineStr">
        <is>
          <t>按人数分类计数</t>
        </is>
      </c>
      <c r="J504" s="8" t="inlineStr">
        <is>
          <t>单挑多人手数正例-单挑与多人分类计数</t>
        </is>
      </c>
      <c r="K504" s="9" t="inlineStr">
        <is>
          <t>正例</t>
        </is>
      </c>
      <c r="L504" s="8" t="inlineStr">
        <is>
          <t>1、已登录 App。
2、场次含单挑底池10手、翻后3人底池6手。单挑手数=10，多人手数=6</t>
        </is>
      </c>
      <c r="M504" s="8" t="inlineStr">
        <is>
          <t>1、已登录 App，进入复盘列表或账户相关页面。
2、打开「单挑/多人手数」，检查是否为10和6。</t>
        </is>
      </c>
      <c r="N504" s="8" t="inlineStr">
        <is>
          <t>单挑手数=10；多人手数=6</t>
        </is>
      </c>
      <c r="O504" s="8" t="inlineStr">
        <is>
          <t>app.session.duel_multi_hands</t>
        </is>
      </c>
      <c r="P504" s="10" t="inlineStr">
        <is>
          <t>未执行</t>
        </is>
      </c>
      <c r="Q504" s="10" t="inlineStr"/>
      <c r="R504" s="11" t="inlineStr"/>
    </row>
    <row r="505" ht="72" customHeight="1">
      <c r="A505" s="5" t="inlineStr">
        <is>
          <t>TC-RPT-501</t>
        </is>
      </c>
      <c r="B505" s="5" t="inlineStr">
        <is>
          <t>PROD-duel_multi_hands</t>
        </is>
      </c>
      <c r="C505" s="5" t="inlineStr">
        <is>
          <t>单挑/多人手数</t>
        </is>
      </c>
      <c r="D505" s="13" t="inlineStr">
        <is>
          <t>P1</t>
        </is>
      </c>
      <c r="E505" s="7" t="inlineStr">
        <is>
          <t>错误推断法</t>
        </is>
      </c>
      <c r="F505" s="7" t="inlineStr">
        <is>
          <t>场次列表</t>
        </is>
      </c>
      <c r="G505" s="7" t="inlineStr">
        <is>
          <t>内部</t>
        </is>
      </c>
      <c r="H505" s="8" t="inlineStr">
        <is>
          <t>按竞争人数分类的单挑与多人底池手数</t>
        </is>
      </c>
      <c r="I505" s="8" t="inlineStr">
        <is>
          <t>按人数分类计数</t>
        </is>
      </c>
      <c r="J505" s="8" t="inlineStr">
        <is>
          <t>单挑多人手数反例-竞争人数不可识别不强行归类</t>
        </is>
      </c>
      <c r="K505" s="12" t="inlineStr">
        <is>
          <t>反例</t>
        </is>
      </c>
      <c r="L505" s="8" t="inlineStr">
        <is>
          <t>1、已登录 App。
2、有手牌竞争人数识别失败。不强行写入单挑或多人计数</t>
        </is>
      </c>
      <c r="M505" s="8" t="inlineStr">
        <is>
          <t>1、已登录 App，进入复盘列表或账户相关页面。
2、打开「单挑/多人手数」，检查是否为空或不归类。</t>
        </is>
      </c>
      <c r="N505" s="8" t="inlineStr">
        <is>
          <t>单挑/多人手数=空或不归类</t>
        </is>
      </c>
      <c r="O505" s="8" t="inlineStr">
        <is>
          <t>app.session.duel_multi_hands</t>
        </is>
      </c>
      <c r="P505" s="10" t="inlineStr">
        <is>
          <t>未执行</t>
        </is>
      </c>
      <c r="Q505" s="10" t="inlineStr"/>
      <c r="R505" s="11" t="inlineStr"/>
    </row>
    <row r="506" ht="72" customHeight="1">
      <c r="A506" s="5" t="inlineStr">
        <is>
          <t>TC-RPT-502</t>
        </is>
      </c>
      <c r="B506" s="5" t="inlineStr">
        <is>
          <t>PROD-similar_30d</t>
        </is>
      </c>
      <c r="C506" s="5" t="inlineStr">
        <is>
          <t>30天相似次数</t>
        </is>
      </c>
      <c r="D506" s="14" t="inlineStr">
        <is>
          <t>P2</t>
        </is>
      </c>
      <c r="E506" s="7" t="inlineStr">
        <is>
          <t>场景设计法</t>
        </is>
      </c>
      <c r="F506" s="7" t="inlineStr">
        <is>
          <t>产品交互</t>
        </is>
      </c>
      <c r="G506" s="7" t="inlineStr">
        <is>
          <t>是</t>
        </is>
      </c>
      <c r="H506" s="8" t="inlineStr">
        <is>
          <t>30 天窗口内与当前手相似的手牌次数（含当前手）</t>
        </is>
      </c>
      <c r="I506" s="8" t="inlineStr">
        <is>
          <t>count(相似手, 30d窗口)</t>
        </is>
      </c>
      <c r="J506" s="8" t="inlineStr">
        <is>
          <t>30天相似次数正例-含当前手且限30天窗口</t>
        </is>
      </c>
      <c r="K506" s="9" t="inlineStr">
        <is>
          <t>正例</t>
        </is>
      </c>
      <c r="L506" s="8" t="inlineStr">
        <is>
          <t>1、已登录 App。
2、当前手与29天前一手相似、31天前一手相似。30天相似次数含当前手且只计窗口内</t>
        </is>
      </c>
      <c r="M506" s="8" t="inlineStr">
        <is>
          <t>1、上传素材，生成复盘报告，等到能打开。
2、打开当前手「30天相似次数」，检查是否含当前手且不计31天前那手。</t>
        </is>
      </c>
      <c r="N506" s="8" t="inlineStr">
        <is>
          <t>30天相似次数=n</t>
        </is>
      </c>
      <c r="O506" s="8" t="inlineStr">
        <is>
          <t>app.hand.similar_30d_count</t>
        </is>
      </c>
      <c r="P506" s="10" t="inlineStr">
        <is>
          <t>未执行</t>
        </is>
      </c>
      <c r="Q506" s="10" t="inlineStr"/>
      <c r="R506" s="11" t="inlineStr"/>
    </row>
    <row r="507" ht="72" customHeight="1">
      <c r="A507" s="5" t="inlineStr">
        <is>
          <t>TC-RPT-503</t>
        </is>
      </c>
      <c r="B507" s="5" t="inlineStr">
        <is>
          <t>PROD-hand_catalog_count</t>
        </is>
      </c>
      <c r="C507" s="5" t="inlineStr">
        <is>
          <t>手牌目录数</t>
        </is>
      </c>
      <c r="D507" s="13" t="inlineStr">
        <is>
          <t>P1</t>
        </is>
      </c>
      <c r="E507" s="7" t="inlineStr">
        <is>
          <t>场景设计法</t>
        </is>
      </c>
      <c r="F507" s="7" t="inlineStr">
        <is>
          <t>产品交互</t>
        </is>
      </c>
      <c r="G507" s="7" t="inlineStr">
        <is>
          <t>是</t>
        </is>
      </c>
      <c r="H507" s="8" t="inlineStr">
        <is>
          <t>手牌目录列表条数，随筛选与归档变化</t>
        </is>
      </c>
      <c r="I507" s="8" t="inlineStr">
        <is>
          <t>目录交集筛选计数</t>
        </is>
      </c>
      <c r="J507" s="8" t="inlineStr">
        <is>
          <t>手牌目录数正例-交集筛选后条数</t>
        </is>
      </c>
      <c r="K507" s="9" t="inlineStr">
        <is>
          <t>正例</t>
        </is>
      </c>
      <c r="L507" s="8" t="inlineStr">
        <is>
          <t>1、已登录 App。
2、目录原始20条，叠加盲注+日期筛选后剩8条。手牌目录数=8</t>
        </is>
      </c>
      <c r="M507" s="8" t="inlineStr">
        <is>
          <t>1、已登录 App，进入复盘列表或账户相关页面。
2、打开「手牌目录数」，检查是否为8。</t>
        </is>
      </c>
      <c r="N507" s="8" t="inlineStr">
        <is>
          <t>手牌目录数=8</t>
        </is>
      </c>
      <c r="O507" s="8" t="inlineStr">
        <is>
          <t>app.hand_catalog.count</t>
        </is>
      </c>
      <c r="P507" s="10" t="inlineStr">
        <is>
          <t>未执行</t>
        </is>
      </c>
      <c r="Q507" s="10" t="inlineStr"/>
      <c r="R507" s="11" t="inlineStr"/>
    </row>
    <row r="508" ht="72" customHeight="1">
      <c r="A508" s="5" t="inlineStr">
        <is>
          <t>TC-RPT-504</t>
        </is>
      </c>
      <c r="B508" s="5" t="inlineStr">
        <is>
          <t>PROD-hand_catalog_count</t>
        </is>
      </c>
      <c r="C508" s="5" t="inlineStr">
        <is>
          <t>手牌目录数</t>
        </is>
      </c>
      <c r="D508" s="13" t="inlineStr">
        <is>
          <t>P1</t>
        </is>
      </c>
      <c r="E508" s="7" t="inlineStr">
        <is>
          <t>场景设计法</t>
        </is>
      </c>
      <c r="F508" s="7" t="inlineStr">
        <is>
          <t>产品交互</t>
        </is>
      </c>
      <c r="G508" s="7" t="inlineStr">
        <is>
          <t>是</t>
        </is>
      </c>
      <c r="H508" s="8" t="inlineStr">
        <is>
          <t>手牌目录列表条数，随筛选与归档变化</t>
        </is>
      </c>
      <c r="I508" s="8" t="inlineStr">
        <is>
          <t>目录交集筛选计数</t>
        </is>
      </c>
      <c r="J508" s="8" t="inlineStr">
        <is>
          <t>手牌目录数正例-归档后即时更新</t>
        </is>
      </c>
      <c r="K508" s="9" t="inlineStr">
        <is>
          <t>正例</t>
        </is>
      </c>
      <c r="L508" s="8" t="inlineStr">
        <is>
          <t>1、已登录 App。
2、目录10条，归档1条后应立即显示9条</t>
        </is>
      </c>
      <c r="M508" s="8" t="inlineStr">
        <is>
          <t>1、已登录 App，进入复盘列表或账户相关页面。
2、打开「手牌目录数」，检查是否为9。</t>
        </is>
      </c>
      <c r="N508" s="8" t="inlineStr">
        <is>
          <t>手牌目录数=9</t>
        </is>
      </c>
      <c r="O508" s="8" t="inlineStr">
        <is>
          <t>app.hand_catalog.count</t>
        </is>
      </c>
      <c r="P508" s="10" t="inlineStr">
        <is>
          <t>未执行</t>
        </is>
      </c>
      <c r="Q508" s="10" t="inlineStr"/>
      <c r="R508" s="11" t="inlineStr"/>
    </row>
    <row r="509" ht="72" customHeight="1">
      <c r="A509" s="5" t="inlineStr">
        <is>
          <t>TC-RPT-505</t>
        </is>
      </c>
      <c r="B509" s="5" t="inlineStr">
        <is>
          <t>PROD-hand_progress</t>
        </is>
      </c>
      <c r="C509" s="5" t="inlineStr">
        <is>
          <t>单手进度</t>
        </is>
      </c>
      <c r="D509" s="13" t="inlineStr">
        <is>
          <t>P1</t>
        </is>
      </c>
      <c r="E509" s="7" t="inlineStr">
        <is>
          <t>场景设计法</t>
        </is>
      </c>
      <c r="F509" s="7" t="inlineStr">
        <is>
          <t>产品交互</t>
        </is>
      </c>
      <c r="G509" s="7" t="inlineStr">
        <is>
          <t>是</t>
        </is>
      </c>
      <c r="H509" s="8" t="inlineStr">
        <is>
          <t>单手复盘问答/节点完成进度</t>
        </is>
      </c>
      <c r="I509" s="8" t="inlineStr">
        <is>
          <t>已完成必答节点/总必答节点</t>
        </is>
      </c>
      <c r="J509" s="8" t="inlineStr">
        <is>
          <t>单手进度正例-部分节点提交进度递增</t>
        </is>
      </c>
      <c r="K509" s="9" t="inlineStr">
        <is>
          <t>正例</t>
        </is>
      </c>
      <c r="L509" s="8" t="inlineStr">
        <is>
          <t>1、已登录 App。
2、单手复盘3个必答节点，完成1个。进度约33%</t>
        </is>
      </c>
      <c r="M509" s="8" t="inlineStr">
        <is>
          <t>1、已登录 App，进入复盘列表或账户相关页面。
2、打开「单手进度」，检查是否为约33%。</t>
        </is>
      </c>
      <c r="N509" s="8" t="inlineStr">
        <is>
          <t>单手进度=约33%</t>
        </is>
      </c>
      <c r="O509" s="8" t="inlineStr">
        <is>
          <t>app.hand.progress</t>
        </is>
      </c>
      <c r="P509" s="10" t="inlineStr">
        <is>
          <t>未执行</t>
        </is>
      </c>
      <c r="Q509" s="10" t="inlineStr"/>
      <c r="R509" s="11" t="inlineStr"/>
    </row>
    <row r="510" ht="72" customHeight="1">
      <c r="A510" s="5" t="inlineStr">
        <is>
          <t>TC-RPT-506</t>
        </is>
      </c>
      <c r="B510" s="5" t="inlineStr">
        <is>
          <t>PROD-hand_progress</t>
        </is>
      </c>
      <c r="C510" s="5" t="inlineStr">
        <is>
          <t>单手进度</t>
        </is>
      </c>
      <c r="D510" s="13" t="inlineStr">
        <is>
          <t>P1</t>
        </is>
      </c>
      <c r="E510" s="7" t="inlineStr">
        <is>
          <t>场景设计法</t>
        </is>
      </c>
      <c r="F510" s="7" t="inlineStr">
        <is>
          <t>产品交互</t>
        </is>
      </c>
      <c r="G510" s="7" t="inlineStr">
        <is>
          <t>是</t>
        </is>
      </c>
      <c r="H510" s="8" t="inlineStr">
        <is>
          <t>单手复盘问答/节点完成进度</t>
        </is>
      </c>
      <c r="I510" s="8" t="inlineStr">
        <is>
          <t>已完成必答节点/总必答节点</t>
        </is>
      </c>
      <c r="J510" s="8" t="inlineStr">
        <is>
          <t>单手进度反例-跳过必答节点不算完成</t>
        </is>
      </c>
      <c r="K510" s="12" t="inlineStr">
        <is>
          <t>反例</t>
        </is>
      </c>
      <c r="L510" s="8" t="inlineStr">
        <is>
          <t>1、已登录 App。
2、必答节点未全部答完即跳过。进度不能显示100%</t>
        </is>
      </c>
      <c r="M510" s="8" t="inlineStr">
        <is>
          <t>1、已登录 App，进入复盘列表或账户相关页面。
2、打开「单手进度」，检查是否为小于100%。</t>
        </is>
      </c>
      <c r="N510" s="8" t="inlineStr">
        <is>
          <t>单手进度=小于100%</t>
        </is>
      </c>
      <c r="O510" s="8" t="inlineStr">
        <is>
          <t>app.hand.progress</t>
        </is>
      </c>
      <c r="P510" s="10" t="inlineStr">
        <is>
          <t>未执行</t>
        </is>
      </c>
      <c r="Q510" s="10" t="inlineStr"/>
      <c r="R510" s="11" t="inlineStr"/>
    </row>
    <row r="511" ht="72" customHeight="1">
      <c r="A511" s="5" t="inlineStr">
        <is>
          <t>TC-RPT-507</t>
        </is>
      </c>
      <c r="B511" s="5" t="inlineStr">
        <is>
          <t>PROD-hand_progress</t>
        </is>
      </c>
      <c r="C511" s="5" t="inlineStr">
        <is>
          <t>单手进度</t>
        </is>
      </c>
      <c r="D511" s="13" t="inlineStr">
        <is>
          <t>P1</t>
        </is>
      </c>
      <c r="E511" s="7" t="inlineStr">
        <is>
          <t>场景设计法</t>
        </is>
      </c>
      <c r="F511" s="7" t="inlineStr">
        <is>
          <t>产品交互</t>
        </is>
      </c>
      <c r="G511" s="7" t="inlineStr">
        <is>
          <t>是</t>
        </is>
      </c>
      <c r="H511" s="8" t="inlineStr">
        <is>
          <t>单手复盘问答/节点完成进度</t>
        </is>
      </c>
      <c r="I511" s="8" t="inlineStr">
        <is>
          <t>已完成必答节点/总必答节点</t>
        </is>
      </c>
      <c r="J511" s="8" t="inlineStr">
        <is>
          <t>单手进度正例-全部必答完成100%</t>
        </is>
      </c>
      <c r="K511" s="9" t="inlineStr">
        <is>
          <t>正例</t>
        </is>
      </c>
      <c r="L511" s="8" t="inlineStr">
        <is>
          <t>1、已登录 App。
2、全部必答节点已提交。单手进度=100%</t>
        </is>
      </c>
      <c r="M511" s="8" t="inlineStr">
        <is>
          <t>1、已登录 App，进入复盘列表或账户相关页面。
2、打开「单手进度」，检查是否为100%。</t>
        </is>
      </c>
      <c r="N511" s="8" t="inlineStr">
        <is>
          <t>单手进度=100%</t>
        </is>
      </c>
      <c r="O511" s="8" t="inlineStr">
        <is>
          <t>app.hand.progress</t>
        </is>
      </c>
      <c r="P511" s="10" t="inlineStr">
        <is>
          <t>未执行</t>
        </is>
      </c>
      <c r="Q511" s="10" t="inlineStr"/>
      <c r="R511" s="11" t="inlineStr"/>
    </row>
    <row r="512" ht="72" customHeight="1">
      <c r="A512" s="5" t="inlineStr">
        <is>
          <t>TC-RPT-508</t>
        </is>
      </c>
      <c r="B512" s="5" t="inlineStr">
        <is>
          <t>PROD-unread_count</t>
        </is>
      </c>
      <c r="C512" s="5" t="inlineStr">
        <is>
          <t>未读数</t>
        </is>
      </c>
      <c r="D512" s="13" t="inlineStr">
        <is>
          <t>P1</t>
        </is>
      </c>
      <c r="E512" s="7" t="inlineStr">
        <is>
          <t>场景设计法</t>
        </is>
      </c>
      <c r="F512" s="7" t="inlineStr">
        <is>
          <t>产品交互</t>
        </is>
      </c>
      <c r="G512" s="7" t="inlineStr">
        <is>
          <t>是</t>
        </is>
      </c>
      <c r="H512" s="8" t="inlineStr">
        <is>
          <t>复盘消息/报告未读角标</t>
        </is>
      </c>
      <c r="I512" s="8" t="inlineStr">
        <is>
          <t>未读条数</t>
        </is>
      </c>
      <c r="J512" s="8" t="inlineStr">
        <is>
          <t>未读数正例-未读角标计算</t>
        </is>
      </c>
      <c r="K512" s="9" t="inlineStr">
        <is>
          <t>正例</t>
        </is>
      </c>
      <c r="L512" s="8" t="inlineStr">
        <is>
          <t>1、已登录 App。
2、有3条未读复盘消息。未读数=3</t>
        </is>
      </c>
      <c r="M512" s="8" t="inlineStr">
        <is>
          <t>1、已登录 App，进入复盘列表或账户相关页面。
2、打开「未读数」，检查是否为3。</t>
        </is>
      </c>
      <c r="N512" s="8" t="inlineStr">
        <is>
          <t>未读数=3</t>
        </is>
      </c>
      <c r="O512" s="8" t="inlineStr">
        <is>
          <t>app.notification.unread_count</t>
        </is>
      </c>
      <c r="P512" s="10" t="inlineStr">
        <is>
          <t>未执行</t>
        </is>
      </c>
      <c r="Q512" s="10" t="inlineStr"/>
      <c r="R512" s="11" t="inlineStr"/>
    </row>
    <row r="513" ht="72" customHeight="1">
      <c r="A513" s="5" t="inlineStr">
        <is>
          <t>TC-RPT-509</t>
        </is>
      </c>
      <c r="B513" s="5" t="inlineStr">
        <is>
          <t>PROD-unread_count</t>
        </is>
      </c>
      <c r="C513" s="5" t="inlineStr">
        <is>
          <t>未读数</t>
        </is>
      </c>
      <c r="D513" s="13" t="inlineStr">
        <is>
          <t>P1</t>
        </is>
      </c>
      <c r="E513" s="7" t="inlineStr">
        <is>
          <t>场景设计法</t>
        </is>
      </c>
      <c r="F513" s="7" t="inlineStr">
        <is>
          <t>产品交互</t>
        </is>
      </c>
      <c r="G513" s="7" t="inlineStr">
        <is>
          <t>是</t>
        </is>
      </c>
      <c r="H513" s="8" t="inlineStr">
        <is>
          <t>复盘消息/报告未读角标</t>
        </is>
      </c>
      <c r="I513" s="8" t="inlineStr">
        <is>
          <t>未读条数</t>
        </is>
      </c>
      <c r="J513" s="8" t="inlineStr">
        <is>
          <t>未读数正例-标已读后即时更新</t>
        </is>
      </c>
      <c r="K513" s="9" t="inlineStr">
        <is>
          <t>正例</t>
        </is>
      </c>
      <c r="L513" s="8" t="inlineStr">
        <is>
          <t>1、已登录 App。
2、未读数=3，标已读1条后未读数=2</t>
        </is>
      </c>
      <c r="M513" s="8" t="inlineStr">
        <is>
          <t>1、已登录 App，进入复盘列表或账户相关页面。
2、打开「未读数」，检查是否为2。</t>
        </is>
      </c>
      <c r="N513" s="8" t="inlineStr">
        <is>
          <t>未读数=2</t>
        </is>
      </c>
      <c r="O513" s="8" t="inlineStr">
        <is>
          <t>app.notification.unread_count</t>
        </is>
      </c>
      <c r="P513" s="10" t="inlineStr">
        <is>
          <t>未执行</t>
        </is>
      </c>
      <c r="Q513" s="10" t="inlineStr"/>
      <c r="R513" s="11" t="inlineStr"/>
    </row>
    <row r="514" ht="72" customHeight="1">
      <c r="A514" s="5" t="inlineStr">
        <is>
          <t>TC-RPT-510</t>
        </is>
      </c>
      <c r="B514" s="5" t="inlineStr">
        <is>
          <t>PROD-credits_balance</t>
        </is>
      </c>
      <c r="C514" s="5" t="inlineStr">
        <is>
          <t>Credits总余额</t>
        </is>
      </c>
      <c r="D514" s="6" t="inlineStr">
        <is>
          <t>P0</t>
        </is>
      </c>
      <c r="E514" s="7" t="inlineStr">
        <is>
          <t>场景设计法</t>
        </is>
      </c>
      <c r="F514" s="7" t="inlineStr">
        <is>
          <t>账户计费</t>
        </is>
      </c>
      <c r="G514" s="7" t="inlineStr">
        <is>
          <t>是</t>
        </is>
      </c>
      <c r="H514" s="8" t="inlineStr">
        <is>
          <t>各 Credits 桶余额求和（过期桶排除）</t>
        </is>
      </c>
      <c r="I514" s="8" t="inlineStr">
        <is>
          <t>Σ有效桶余额</t>
        </is>
      </c>
      <c r="J514" s="8" t="inlineStr">
        <is>
          <t>Credits总余额正例-有效桶求和</t>
        </is>
      </c>
      <c r="K514" s="9" t="inlineStr">
        <is>
          <t>正例</t>
        </is>
      </c>
      <c r="L514" s="8" t="inlineStr">
        <is>
          <t>1、已登录 App。
2、三桶余额100、50、30，均未过期。Credits总余额=180</t>
        </is>
      </c>
      <c r="M514" s="8" t="inlineStr">
        <is>
          <t>1、已登录 App，进入复盘列表或账户相关页面。
2、打开「Credits总余额」，检查是否为180。</t>
        </is>
      </c>
      <c r="N514" s="8" t="inlineStr">
        <is>
          <t>Credits总余额=180</t>
        </is>
      </c>
      <c r="O514" s="8" t="inlineStr">
        <is>
          <t>app.account.credits_balance</t>
        </is>
      </c>
      <c r="P514" s="10" t="inlineStr">
        <is>
          <t>未执行</t>
        </is>
      </c>
      <c r="Q514" s="10" t="inlineStr"/>
      <c r="R514" s="11" t="inlineStr"/>
    </row>
    <row r="515" ht="72" customHeight="1">
      <c r="A515" s="5" t="inlineStr">
        <is>
          <t>TC-RPT-511</t>
        </is>
      </c>
      <c r="B515" s="5" t="inlineStr">
        <is>
          <t>PROD-credits_balance</t>
        </is>
      </c>
      <c r="C515" s="5" t="inlineStr">
        <is>
          <t>Credits总余额</t>
        </is>
      </c>
      <c r="D515" s="6" t="inlineStr">
        <is>
          <t>P0</t>
        </is>
      </c>
      <c r="E515" s="7" t="inlineStr">
        <is>
          <t>场景设计法</t>
        </is>
      </c>
      <c r="F515" s="7" t="inlineStr">
        <is>
          <t>账户计费</t>
        </is>
      </c>
      <c r="G515" s="7" t="inlineStr">
        <is>
          <t>是</t>
        </is>
      </c>
      <c r="H515" s="8" t="inlineStr">
        <is>
          <t>各 Credits 桶余额求和（过期桶排除）</t>
        </is>
      </c>
      <c r="I515" s="8" t="inlineStr">
        <is>
          <t>Σ有效桶余额</t>
        </is>
      </c>
      <c r="J515" s="8" t="inlineStr">
        <is>
          <t>Credits总余额反例-过期桶不计入</t>
        </is>
      </c>
      <c r="K515" s="12" t="inlineStr">
        <is>
          <t>反例</t>
        </is>
      </c>
      <c r="L515" s="8" t="inlineStr">
        <is>
          <t>1、已登录 App。
2、有效桶100，过期桶50。Credits总余额=100</t>
        </is>
      </c>
      <c r="M515" s="8" t="inlineStr">
        <is>
          <t>1、已登录 App，进入复盘列表或账户相关页面。
2、打开「Credits总余额」，检查是否为100。</t>
        </is>
      </c>
      <c r="N515" s="8" t="inlineStr">
        <is>
          <t>Credits总余额=100</t>
        </is>
      </c>
      <c r="O515" s="8" t="inlineStr">
        <is>
          <t>app.account.credits_balance</t>
        </is>
      </c>
      <c r="P515" s="10" t="inlineStr">
        <is>
          <t>未执行</t>
        </is>
      </c>
      <c r="Q515" s="10" t="inlineStr"/>
      <c r="R515" s="11" t="inlineStr"/>
    </row>
    <row r="516" ht="72" customHeight="1">
      <c r="A516" s="5" t="inlineStr">
        <is>
          <t>TC-RPT-512</t>
        </is>
      </c>
      <c r="B516" s="5" t="inlineStr">
        <is>
          <t>PROD-credits_usage_rate</t>
        </is>
      </c>
      <c r="C516" s="5" t="inlineStr">
        <is>
          <t>Credits使用率</t>
        </is>
      </c>
      <c r="D516" s="13" t="inlineStr">
        <is>
          <t>P1</t>
        </is>
      </c>
      <c r="E516" s="7" t="inlineStr">
        <is>
          <t>场景设计法</t>
        </is>
      </c>
      <c r="F516" s="7" t="inlineStr">
        <is>
          <t>账户计费</t>
        </is>
      </c>
      <c r="G516" s="7" t="inlineStr">
        <is>
          <t>是</t>
        </is>
      </c>
      <c r="H516" s="8" t="inlineStr">
        <is>
          <t>已用 Credits / 总 Credits</t>
        </is>
      </c>
      <c r="I516" s="8" t="inlineStr">
        <is>
          <t>used/total，不超过100%</t>
        </is>
      </c>
      <c r="J516" s="8" t="inlineStr">
        <is>
          <t>Credits使用率正例-已用除以总量</t>
        </is>
      </c>
      <c r="K516" s="9" t="inlineStr">
        <is>
          <t>正例</t>
        </is>
      </c>
      <c r="L516" s="8" t="inlineStr">
        <is>
          <t>1、已登录 App。
2、总量200已用80。Credits使用率=40%</t>
        </is>
      </c>
      <c r="M516" s="8" t="inlineStr">
        <is>
          <t>1、已登录 App，进入复盘列表或账户相关页面。
2、打开「Credits使用率」，检查是否为40%。</t>
        </is>
      </c>
      <c r="N516" s="8" t="inlineStr">
        <is>
          <t>Credits使用率=40%</t>
        </is>
      </c>
      <c r="O516" s="8" t="inlineStr">
        <is>
          <t>app.account.credits_usage_rate</t>
        </is>
      </c>
      <c r="P516" s="10" t="inlineStr">
        <is>
          <t>未执行</t>
        </is>
      </c>
      <c r="Q516" s="10" t="inlineStr"/>
      <c r="R516" s="11" t="inlineStr"/>
    </row>
    <row r="517" ht="72" customHeight="1">
      <c r="A517" s="5" t="inlineStr">
        <is>
          <t>TC-RPT-513</t>
        </is>
      </c>
      <c r="B517" s="5" t="inlineStr">
        <is>
          <t>PROD-credits_usage_rate</t>
        </is>
      </c>
      <c r="C517" s="5" t="inlineStr">
        <is>
          <t>Credits使用率</t>
        </is>
      </c>
      <c r="D517" s="13" t="inlineStr">
        <is>
          <t>P1</t>
        </is>
      </c>
      <c r="E517" s="7" t="inlineStr">
        <is>
          <t>边界值分析法</t>
        </is>
      </c>
      <c r="F517" s="7" t="inlineStr">
        <is>
          <t>账户计费</t>
        </is>
      </c>
      <c r="G517" s="7" t="inlineStr">
        <is>
          <t>是</t>
        </is>
      </c>
      <c r="H517" s="8" t="inlineStr">
        <is>
          <t>已用 Credits / 总 Credits</t>
        </is>
      </c>
      <c r="I517" s="8" t="inlineStr">
        <is>
          <t>used/total，不超过100%</t>
        </is>
      </c>
      <c r="J517" s="8" t="inlineStr">
        <is>
          <t>Credits使用率反例-不超过100%</t>
        </is>
      </c>
      <c r="K517" s="12" t="inlineStr">
        <is>
          <t>反例</t>
        </is>
      </c>
      <c r="L517" s="8" t="inlineStr">
        <is>
          <t>1、已登录 App。
2、已用不应超过总量。使用率最大100%</t>
        </is>
      </c>
      <c r="M517" s="8" t="inlineStr">
        <is>
          <t>1、已登录 App，进入复盘列表或账户相关页面。
2、打开「Credits使用率」，检查是否为≤100%。</t>
        </is>
      </c>
      <c r="N517" s="8" t="inlineStr">
        <is>
          <t>Credits使用率=≤100%</t>
        </is>
      </c>
      <c r="O517" s="8" t="inlineStr">
        <is>
          <t>app.account.credits_usage_rate</t>
        </is>
      </c>
      <c r="P517" s="10" t="inlineStr">
        <is>
          <t>未执行</t>
        </is>
      </c>
      <c r="Q517" s="10" t="inlineStr"/>
      <c r="R517" s="11" t="inlineStr"/>
    </row>
    <row r="518" ht="72" customHeight="1">
      <c r="A518" s="5" t="inlineStr">
        <is>
          <t>TC-RPT-514</t>
        </is>
      </c>
      <c r="B518" s="5" t="inlineStr">
        <is>
          <t>PROD-membership_quota</t>
        </is>
      </c>
      <c r="C518" s="5" t="inlineStr">
        <is>
          <t>会员剩余额度</t>
        </is>
      </c>
      <c r="D518" s="6" t="inlineStr">
        <is>
          <t>P0</t>
        </is>
      </c>
      <c r="E518" s="7" t="inlineStr">
        <is>
          <t>场景设计法</t>
        </is>
      </c>
      <c r="F518" s="7" t="inlineStr">
        <is>
          <t>账户计费</t>
        </is>
      </c>
      <c r="G518" s="7" t="inlineStr">
        <is>
          <t>是</t>
        </is>
      </c>
      <c r="H518" s="8" t="inlineStr">
        <is>
          <t>当前会员周期剩余可用额度</t>
        </is>
      </c>
      <c r="I518" s="8" t="inlineStr">
        <is>
          <t>周期内剩余额度</t>
        </is>
      </c>
      <c r="J518" s="8" t="inlineStr">
        <is>
          <t>会员剩余额度正例-当前周期余额</t>
        </is>
      </c>
      <c r="K518" s="9" t="inlineStr">
        <is>
          <t>正例</t>
        </is>
      </c>
      <c r="L518" s="8" t="inlineStr">
        <is>
          <t>1、已登录 App。
2、会员周期总额500已用120。会员剩余额度=380</t>
        </is>
      </c>
      <c r="M518" s="8" t="inlineStr">
        <is>
          <t>1、已登录 App，进入复盘列表或账户相关页面。
2、打开「会员剩余额度」，检查是否为380。</t>
        </is>
      </c>
      <c r="N518" s="8" t="inlineStr">
        <is>
          <t>会员剩余额度=380</t>
        </is>
      </c>
      <c r="O518" s="8" t="inlineStr">
        <is>
          <t>app.account.membership_quota</t>
        </is>
      </c>
      <c r="P518" s="10" t="inlineStr">
        <is>
          <t>未执行</t>
        </is>
      </c>
      <c r="Q518" s="10" t="inlineStr"/>
      <c r="R518" s="11" t="inlineStr"/>
    </row>
    <row r="519" ht="72" customHeight="1">
      <c r="A519" s="5" t="inlineStr">
        <is>
          <t>TC-RPT-515</t>
        </is>
      </c>
      <c r="B519" s="5" t="inlineStr">
        <is>
          <t>PROD-membership_quota</t>
        </is>
      </c>
      <c r="C519" s="5" t="inlineStr">
        <is>
          <t>会员剩余额度</t>
        </is>
      </c>
      <c r="D519" s="6" t="inlineStr">
        <is>
          <t>P0</t>
        </is>
      </c>
      <c r="E519" s="7" t="inlineStr">
        <is>
          <t>场景设计法</t>
        </is>
      </c>
      <c r="F519" s="7" t="inlineStr">
        <is>
          <t>账户计费</t>
        </is>
      </c>
      <c r="G519" s="7" t="inlineStr">
        <is>
          <t>是</t>
        </is>
      </c>
      <c r="H519" s="8" t="inlineStr">
        <is>
          <t>当前会员周期剩余可用额度</t>
        </is>
      </c>
      <c r="I519" s="8" t="inlineStr">
        <is>
          <t>周期内剩余额度</t>
        </is>
      </c>
      <c r="J519" s="8" t="inlineStr">
        <is>
          <t>会员剩余额度正例-到期后为0不结转</t>
        </is>
      </c>
      <c r="K519" s="9" t="inlineStr">
        <is>
          <t>正例</t>
        </is>
      </c>
      <c r="L519" s="8" t="inlineStr">
        <is>
          <t>1、已登录 App。
2、会员已到期未续费。会员剩余额度=0</t>
        </is>
      </c>
      <c r="M519" s="8" t="inlineStr">
        <is>
          <t>1、已登录 App，进入复盘列表或账户相关页面。
2、打开「会员剩余额度」，检查是否为0。</t>
        </is>
      </c>
      <c r="N519" s="8" t="inlineStr">
        <is>
          <t>会员剩余额度=0</t>
        </is>
      </c>
      <c r="O519" s="8" t="inlineStr">
        <is>
          <t>app.account.membership_quota</t>
        </is>
      </c>
      <c r="P519" s="10" t="inlineStr">
        <is>
          <t>未执行</t>
        </is>
      </c>
      <c r="Q519" s="10" t="inlineStr"/>
      <c r="R519" s="11" t="inlineStr"/>
    </row>
    <row r="520" ht="72" customHeight="1">
      <c r="A520" s="5" t="inlineStr">
        <is>
          <t>TC-RPT-516</t>
        </is>
      </c>
      <c r="B520" s="5" t="inlineStr">
        <is>
          <t>PROD-recording_billing_minutes</t>
        </is>
      </c>
      <c r="C520" s="5" t="inlineStr">
        <is>
          <t>录屏计费分钟</t>
        </is>
      </c>
      <c r="D520" s="6" t="inlineStr">
        <is>
          <t>P0</t>
        </is>
      </c>
      <c r="E520" s="7" t="inlineStr">
        <is>
          <t>边界值分析法</t>
        </is>
      </c>
      <c r="F520" s="7" t="inlineStr">
        <is>
          <t>账户计费</t>
        </is>
      </c>
      <c r="G520" s="7" t="inlineStr">
        <is>
          <t>是</t>
        </is>
      </c>
      <c r="H520" s="8" t="inlineStr">
        <is>
          <t>录屏时长向上取整到分钟的计费规则</t>
        </is>
      </c>
      <c r="I520" s="8" t="inlineStr">
        <is>
          <t>ceil(秒/60)，最低1分钟</t>
        </is>
      </c>
      <c r="J520" s="8" t="inlineStr">
        <is>
          <t>录屏计费分钟正例-61秒按2分钟</t>
        </is>
      </c>
      <c r="K520" s="9" t="inlineStr">
        <is>
          <t>正例</t>
        </is>
      </c>
      <c r="L520" s="8" t="inlineStr">
        <is>
          <t>1、已登录 App。
2、录屏时长61秒。录屏计费分钟=2</t>
        </is>
      </c>
      <c r="M520" s="8" t="inlineStr">
        <is>
          <t>1、已登录 App，进入复盘列表或账户相关页面。
2、打开「录屏计费分钟」，检查是否为2。</t>
        </is>
      </c>
      <c r="N520" s="8" t="inlineStr">
        <is>
          <t>录屏计费分钟=2</t>
        </is>
      </c>
      <c r="O520" s="8" t="inlineStr">
        <is>
          <t>app.billing.recording_minutes</t>
        </is>
      </c>
      <c r="P520" s="10" t="inlineStr">
        <is>
          <t>未执行</t>
        </is>
      </c>
      <c r="Q520" s="10" t="inlineStr"/>
      <c r="R520" s="11" t="inlineStr"/>
    </row>
    <row r="521" ht="72" customHeight="1">
      <c r="A521" s="5" t="inlineStr">
        <is>
          <t>TC-RPT-517</t>
        </is>
      </c>
      <c r="B521" s="5" t="inlineStr">
        <is>
          <t>PROD-recording_billing_minutes</t>
        </is>
      </c>
      <c r="C521" s="5" t="inlineStr">
        <is>
          <t>录屏计费分钟</t>
        </is>
      </c>
      <c r="D521" s="6" t="inlineStr">
        <is>
          <t>P0</t>
        </is>
      </c>
      <c r="E521" s="7" t="inlineStr">
        <is>
          <t>边界值分析法</t>
        </is>
      </c>
      <c r="F521" s="7" t="inlineStr">
        <is>
          <t>账户计费</t>
        </is>
      </c>
      <c r="G521" s="7" t="inlineStr">
        <is>
          <t>是</t>
        </is>
      </c>
      <c r="H521" s="8" t="inlineStr">
        <is>
          <t>录屏时长向上取整到分钟的计费规则</t>
        </is>
      </c>
      <c r="I521" s="8" t="inlineStr">
        <is>
          <t>ceil(秒/60)，最低1分钟</t>
        </is>
      </c>
      <c r="J521" s="8" t="inlineStr">
        <is>
          <t>录屏计费分钟正例-低于1分钟按1分钟</t>
        </is>
      </c>
      <c r="K521" s="9" t="inlineStr">
        <is>
          <t>正例</t>
        </is>
      </c>
      <c r="L521" s="8" t="inlineStr">
        <is>
          <t>1、已登录 App。
2、录屏时长30秒。录屏计费分钟=1</t>
        </is>
      </c>
      <c r="M521" s="8" t="inlineStr">
        <is>
          <t>1、已登录 App，进入复盘列表或账户相关页面。
2、打开「录屏计费分钟」，检查是否为1。</t>
        </is>
      </c>
      <c r="N521" s="8" t="inlineStr">
        <is>
          <t>录屏计费分钟=1</t>
        </is>
      </c>
      <c r="O521" s="8" t="inlineStr">
        <is>
          <t>app.billing.recording_minutes</t>
        </is>
      </c>
      <c r="P521" s="10" t="inlineStr">
        <is>
          <t>未执行</t>
        </is>
      </c>
      <c r="Q521" s="10" t="inlineStr"/>
      <c r="R521" s="11" t="inlineStr"/>
    </row>
    <row r="522" ht="72" customHeight="1">
      <c r="A522" s="5" t="inlineStr">
        <is>
          <t>TC-RPT-518</t>
        </is>
      </c>
      <c r="B522" s="5" t="inlineStr">
        <is>
          <t>PROD-recording_billing_minutes</t>
        </is>
      </c>
      <c r="C522" s="5" t="inlineStr">
        <is>
          <t>录屏计费分钟</t>
        </is>
      </c>
      <c r="D522" s="6" t="inlineStr">
        <is>
          <t>P0</t>
        </is>
      </c>
      <c r="E522" s="7" t="inlineStr">
        <is>
          <t>边界值分析法</t>
        </is>
      </c>
      <c r="F522" s="7" t="inlineStr">
        <is>
          <t>账户计费</t>
        </is>
      </c>
      <c r="G522" s="7" t="inlineStr">
        <is>
          <t>是</t>
        </is>
      </c>
      <c r="H522" s="8" t="inlineStr">
        <is>
          <t>录屏时长向上取整到分钟的计费规则</t>
        </is>
      </c>
      <c r="I522" s="8" t="inlineStr">
        <is>
          <t>ceil(秒/60)，最低1分钟</t>
        </is>
      </c>
      <c r="J522" s="8" t="inlineStr">
        <is>
          <t>录屏计费分钟正例-正好60秒</t>
        </is>
      </c>
      <c r="K522" s="9" t="inlineStr">
        <is>
          <t>正例</t>
        </is>
      </c>
      <c r="L522" s="8" t="inlineStr">
        <is>
          <t>1、已登录 App。
2、录屏时长60秒。录屏计费分钟=1</t>
        </is>
      </c>
      <c r="M522" s="8" t="inlineStr">
        <is>
          <t>1、已登录 App，进入复盘列表或账户相关页面。
2、打开「录屏计费分钟」，检查是否为1。</t>
        </is>
      </c>
      <c r="N522" s="8" t="inlineStr">
        <is>
          <t>录屏计费分钟=1</t>
        </is>
      </c>
      <c r="O522" s="8" t="inlineStr">
        <is>
          <t>app.billing.recording_minutes</t>
        </is>
      </c>
      <c r="P522" s="10" t="inlineStr">
        <is>
          <t>未执行</t>
        </is>
      </c>
      <c r="Q522" s="10" t="inlineStr"/>
      <c r="R522" s="11" t="inlineStr"/>
    </row>
    <row r="523" ht="72" customHeight="1">
      <c r="A523" s="5" t="inlineStr">
        <is>
          <t>TC-RPT-519</t>
        </is>
      </c>
      <c r="B523" s="5" t="inlineStr">
        <is>
          <t>PROD-recording_fee</t>
        </is>
      </c>
      <c r="C523" s="5" t="inlineStr">
        <is>
          <t>录屏费用</t>
        </is>
      </c>
      <c r="D523" s="6" t="inlineStr">
        <is>
          <t>P0</t>
        </is>
      </c>
      <c r="E523" s="7" t="inlineStr">
        <is>
          <t>场景设计法</t>
        </is>
      </c>
      <c r="F523" s="7" t="inlineStr">
        <is>
          <t>账户计费</t>
        </is>
      </c>
      <c r="G523" s="7" t="inlineStr">
        <is>
          <t>是</t>
        </is>
      </c>
      <c r="H523" s="8" t="inlineStr">
        <is>
          <t>录屏分钟数×单价；同 recordingId 只扣一次</t>
        </is>
      </c>
      <c r="I523" s="8" t="inlineStr">
        <is>
          <t>分钟×单价，recordingId去重</t>
        </is>
      </c>
      <c r="J523" s="8" t="inlineStr">
        <is>
          <t>录屏费用正例-分钟乘单价</t>
        </is>
      </c>
      <c r="K523" s="9" t="inlineStr">
        <is>
          <t>正例</t>
        </is>
      </c>
      <c r="L523" s="8" t="inlineStr">
        <is>
          <t>1、已登录 App。
2、计费2分钟，单价10。录屏费用=20</t>
        </is>
      </c>
      <c r="M523" s="8" t="inlineStr">
        <is>
          <t>1、已登录 App，进入复盘列表或账户相关页面。
2、打开「录屏费用」，检查是否为20。</t>
        </is>
      </c>
      <c r="N523" s="8" t="inlineStr">
        <is>
          <t>录屏费用=20</t>
        </is>
      </c>
      <c r="O523" s="8" t="inlineStr">
        <is>
          <t>app.billing.recording_fee</t>
        </is>
      </c>
      <c r="P523" s="10" t="inlineStr">
        <is>
          <t>未执行</t>
        </is>
      </c>
      <c r="Q523" s="10" t="inlineStr"/>
      <c r="R523" s="11" t="inlineStr"/>
    </row>
    <row r="524" ht="72" customHeight="1">
      <c r="A524" s="5" t="inlineStr">
        <is>
          <t>TC-RPT-520</t>
        </is>
      </c>
      <c r="B524" s="5" t="inlineStr">
        <is>
          <t>PROD-recording_fee</t>
        </is>
      </c>
      <c r="C524" s="5" t="inlineStr">
        <is>
          <t>录屏费用</t>
        </is>
      </c>
      <c r="D524" s="6" t="inlineStr">
        <is>
          <t>P0</t>
        </is>
      </c>
      <c r="E524" s="7" t="inlineStr">
        <is>
          <t>场景设计法</t>
        </is>
      </c>
      <c r="F524" s="7" t="inlineStr">
        <is>
          <t>账户计费</t>
        </is>
      </c>
      <c r="G524" s="7" t="inlineStr">
        <is>
          <t>是</t>
        </is>
      </c>
      <c r="H524" s="8" t="inlineStr">
        <is>
          <t>录屏分钟数×单价；同 recordingId 只扣一次</t>
        </is>
      </c>
      <c r="I524" s="8" t="inlineStr">
        <is>
          <t>分钟×单价，recordingId去重</t>
        </is>
      </c>
      <c r="J524" s="8" t="inlineStr">
        <is>
          <t>录屏费用反例-同recordingId只扣一次</t>
        </is>
      </c>
      <c r="K524" s="12" t="inlineStr">
        <is>
          <t>反例</t>
        </is>
      </c>
      <c r="L524" s="8" t="inlineStr">
        <is>
          <t>1、已登录 App。
2、同一recordingId重复提交扣费请求。只产生一条扣减流水，费用不翻倍</t>
        </is>
      </c>
      <c r="M524" s="8" t="inlineStr">
        <is>
          <t>1、已登录 App，进入复盘列表或账户相关页面。
2、打开「录屏费用」，检查是否为只扣一次。</t>
        </is>
      </c>
      <c r="N524" s="8" t="inlineStr">
        <is>
          <t>录屏费用=只扣一次</t>
        </is>
      </c>
      <c r="O524" s="8" t="inlineStr">
        <is>
          <t>app.billing.recording_fee</t>
        </is>
      </c>
      <c r="P524" s="10" t="inlineStr">
        <is>
          <t>未执行</t>
        </is>
      </c>
      <c r="Q524" s="10" t="inlineStr"/>
      <c r="R524" s="11" t="inlineStr"/>
    </row>
    <row r="525" ht="72" customHeight="1">
      <c r="A525" s="5" t="inlineStr">
        <is>
          <t>TC-RPT-521</t>
        </is>
      </c>
      <c r="B525" s="5" t="inlineStr">
        <is>
          <t>PROD-estimated_recording_time</t>
        </is>
      </c>
      <c r="C525" s="5" t="inlineStr">
        <is>
          <t>预计可录时长</t>
        </is>
      </c>
      <c r="D525" s="13" t="inlineStr">
        <is>
          <t>P1</t>
        </is>
      </c>
      <c r="E525" s="7" t="inlineStr">
        <is>
          <t>场景设计法</t>
        </is>
      </c>
      <c r="F525" s="7" t="inlineStr">
        <is>
          <t>账户计费</t>
        </is>
      </c>
      <c r="G525" s="7" t="inlineStr">
        <is>
          <t>是</t>
        </is>
      </c>
      <c r="H525" s="8" t="inlineStr">
        <is>
          <t>余额可支撑录屏时长（向下取整）</t>
        </is>
      </c>
      <c r="I525" s="8" t="inlineStr">
        <is>
          <t>余额/单价，floor</t>
        </is>
      </c>
      <c r="J525" s="8" t="inlineStr">
        <is>
          <t>预计可录时长正例-余额除以单价向下取整</t>
        </is>
      </c>
      <c r="K525" s="9" t="inlineStr">
        <is>
          <t>正例</t>
        </is>
      </c>
      <c r="L525" s="8" t="inlineStr">
        <is>
          <t>1、已登录 App。
2、余额95，单价10分钟。预计可录时长=9分钟（floor）</t>
        </is>
      </c>
      <c r="M525" s="8" t="inlineStr">
        <is>
          <t>1、已登录 App，进入复盘列表或账户相关页面。
2、打开「预计可录时长」，检查是否为9分钟。</t>
        </is>
      </c>
      <c r="N525" s="8" t="inlineStr">
        <is>
          <t>预计可录时长=9分钟</t>
        </is>
      </c>
      <c r="O525" s="8" t="inlineStr">
        <is>
          <t>app.account.estimated_recording_time</t>
        </is>
      </c>
      <c r="P525" s="10" t="inlineStr">
        <is>
          <t>未执行</t>
        </is>
      </c>
      <c r="Q525" s="10" t="inlineStr"/>
      <c r="R525" s="11" t="inlineStr"/>
    </row>
    <row r="526" ht="72" customHeight="1">
      <c r="A526" s="5" t="inlineStr">
        <is>
          <t>TC-RPT-522</t>
        </is>
      </c>
      <c r="B526" s="5" t="inlineStr">
        <is>
          <t>PROD-estimated_recording_time</t>
        </is>
      </c>
      <c r="C526" s="5" t="inlineStr">
        <is>
          <t>预计可录时长</t>
        </is>
      </c>
      <c r="D526" s="13" t="inlineStr">
        <is>
          <t>P1</t>
        </is>
      </c>
      <c r="E526" s="7" t="inlineStr">
        <is>
          <t>场景设计法</t>
        </is>
      </c>
      <c r="F526" s="7" t="inlineStr">
        <is>
          <t>账户计费</t>
        </is>
      </c>
      <c r="G526" s="7" t="inlineStr">
        <is>
          <t>是</t>
        </is>
      </c>
      <c r="H526" s="8" t="inlineStr">
        <is>
          <t>余额可支撑录屏时长（向下取整）</t>
        </is>
      </c>
      <c r="I526" s="8" t="inlineStr">
        <is>
          <t>余额/单价，floor</t>
        </is>
      </c>
      <c r="J526" s="8" t="inlineStr">
        <is>
          <t>预计可录时长正例-余额变化后更新</t>
        </is>
      </c>
      <c r="K526" s="9" t="inlineStr">
        <is>
          <t>正例</t>
        </is>
      </c>
      <c r="L526" s="8" t="inlineStr">
        <is>
          <t>1、已登录 App。
2、扣费后余额减少。预计可录时长应同步变短</t>
        </is>
      </c>
      <c r="M526" s="8" t="inlineStr">
        <is>
          <t>1、已登录 App，进入复盘列表或账户相关页面。
2、打开「预计可录时长」，检查是否为变短。</t>
        </is>
      </c>
      <c r="N526" s="8" t="inlineStr">
        <is>
          <t>预计可录时长=变短</t>
        </is>
      </c>
      <c r="O526" s="8" t="inlineStr">
        <is>
          <t>app.account.estimated_recording_time</t>
        </is>
      </c>
      <c r="P526" s="10" t="inlineStr">
        <is>
          <t>未执行</t>
        </is>
      </c>
      <c r="Q526" s="10" t="inlineStr"/>
      <c r="R526" s="11" t="inlineStr"/>
    </row>
    <row r="527" ht="72" customHeight="1">
      <c r="A527" s="5" t="inlineStr">
        <is>
          <t>TC-RPT-523</t>
        </is>
      </c>
      <c r="B527" s="5" t="inlineStr">
        <is>
          <t>PROD-hand_purchase_fee</t>
        </is>
      </c>
      <c r="C527" s="5" t="inlineStr">
        <is>
          <t>单手购买费用</t>
        </is>
      </c>
      <c r="D527" s="13" t="inlineStr">
        <is>
          <t>P1</t>
        </is>
      </c>
      <c r="E527" s="7" t="inlineStr">
        <is>
          <t>场景设计法</t>
        </is>
      </c>
      <c r="F527" s="7" t="inlineStr">
        <is>
          <t>账户计费</t>
        </is>
      </c>
      <c r="G527" s="7" t="inlineStr">
        <is>
          <t>是</t>
        </is>
      </c>
      <c r="H527" s="8" t="inlineStr">
        <is>
          <t>未购单手复盘费用；已授权不重复扣费</t>
        </is>
      </c>
      <c r="I527" s="8" t="inlineStr">
        <is>
          <t>按定价扣费，已购跳过</t>
        </is>
      </c>
      <c r="J527" s="8" t="inlineStr">
        <is>
          <t>单手购买费用正例-未购手牌计费</t>
        </is>
      </c>
      <c r="K527" s="9" t="inlineStr">
        <is>
          <t>正例</t>
        </is>
      </c>
      <c r="L527" s="8" t="inlineStr">
        <is>
          <t>1、已登录 App。
2、未购买单手复盘，定价5。单手购买费用=5</t>
        </is>
      </c>
      <c r="M527" s="8" t="inlineStr">
        <is>
          <t>1、已登录 App，进入复盘列表或账户相关页面。
2、打开「单手购买费用」，检查是否为5。</t>
        </is>
      </c>
      <c r="N527" s="8" t="inlineStr">
        <is>
          <t>单手购买费用=5</t>
        </is>
      </c>
      <c r="O527" s="8" t="inlineStr">
        <is>
          <t>app.billing.hand_purchase_fee</t>
        </is>
      </c>
      <c r="P527" s="10" t="inlineStr">
        <is>
          <t>未执行</t>
        </is>
      </c>
      <c r="Q527" s="10" t="inlineStr"/>
      <c r="R527" s="11" t="inlineStr"/>
    </row>
    <row r="528" ht="72" customHeight="1">
      <c r="A528" s="5" t="inlineStr">
        <is>
          <t>TC-RPT-524</t>
        </is>
      </c>
      <c r="B528" s="5" t="inlineStr">
        <is>
          <t>PROD-hand_purchase_fee</t>
        </is>
      </c>
      <c r="C528" s="5" t="inlineStr">
        <is>
          <t>单手购买费用</t>
        </is>
      </c>
      <c r="D528" s="13" t="inlineStr">
        <is>
          <t>P1</t>
        </is>
      </c>
      <c r="E528" s="7" t="inlineStr">
        <is>
          <t>场景设计法</t>
        </is>
      </c>
      <c r="F528" s="7" t="inlineStr">
        <is>
          <t>账户计费</t>
        </is>
      </c>
      <c r="G528" s="7" t="inlineStr">
        <is>
          <t>是</t>
        </is>
      </c>
      <c r="H528" s="8" t="inlineStr">
        <is>
          <t>未购单手复盘费用；已授权不重复扣费</t>
        </is>
      </c>
      <c r="I528" s="8" t="inlineStr">
        <is>
          <t>按定价扣费，已购跳过</t>
        </is>
      </c>
      <c r="J528" s="8" t="inlineStr">
        <is>
          <t>单手购买费用反例-已授权不重复收费</t>
        </is>
      </c>
      <c r="K528" s="12" t="inlineStr">
        <is>
          <t>反例</t>
        </is>
      </c>
      <c r="L528" s="8" t="inlineStr">
        <is>
          <t>1、已登录 App。
2、该手已购买授权。再次查看不重复扣费</t>
        </is>
      </c>
      <c r="M528" s="8" t="inlineStr">
        <is>
          <t>1、已登录 App，进入复盘列表或账户相关页面。
2、打开「单手购买费用」，检查是否为0或不扣。</t>
        </is>
      </c>
      <c r="N528" s="8" t="inlineStr">
        <is>
          <t>单手购买费用=0或不扣</t>
        </is>
      </c>
      <c r="O528" s="8" t="inlineStr">
        <is>
          <t>app.billing.hand_purchase_fee</t>
        </is>
      </c>
      <c r="P528" s="10" t="inlineStr">
        <is>
          <t>未执行</t>
        </is>
      </c>
      <c r="Q528" s="10" t="inlineStr"/>
      <c r="R528" s="11" t="inlineStr"/>
    </row>
    <row r="529" ht="72" customHeight="1">
      <c r="A529" s="5" t="inlineStr">
        <is>
          <t>TC-RPT-525</t>
        </is>
      </c>
      <c r="B529" s="5" t="inlineStr">
        <is>
          <t>PROD-membership_annual_save</t>
        </is>
      </c>
      <c r="C529" s="5" t="inlineStr">
        <is>
          <t>会员年付节省</t>
        </is>
      </c>
      <c r="D529" s="14" t="inlineStr">
        <is>
          <t>P2</t>
        </is>
      </c>
      <c r="E529" s="7" t="inlineStr">
        <is>
          <t>场景设计法</t>
        </is>
      </c>
      <c r="F529" s="7" t="inlineStr">
        <is>
          <t>账户计费</t>
        </is>
      </c>
      <c r="G529" s="7" t="inlineStr">
        <is>
          <t>是</t>
        </is>
      </c>
      <c r="H529" s="8" t="inlineStr">
        <is>
          <t>年付相对月付节省金额展示</t>
        </is>
      </c>
      <c r="I529" s="8" t="inlineStr">
        <is>
          <t>月付×12-年付价</t>
        </is>
      </c>
      <c r="J529" s="8" t="inlineStr">
        <is>
          <t>会员年付节省正例-年付相对月付节省展示</t>
        </is>
      </c>
      <c r="K529" s="9" t="inlineStr">
        <is>
          <t>正例</t>
        </is>
      </c>
      <c r="L529" s="8" t="inlineStr">
        <is>
          <t>1、已登录 App。
2、月付100，年付1000。年付节省=200</t>
        </is>
      </c>
      <c r="M529" s="8" t="inlineStr">
        <is>
          <t>1、已登录 App，进入复盘列表或账户相关页面。
2、打开「会员年付节省」，检查是否为200。</t>
        </is>
      </c>
      <c r="N529" s="8" t="inlineStr">
        <is>
          <t>会员年付节省=200</t>
        </is>
      </c>
      <c r="O529" s="8" t="inlineStr">
        <is>
          <t>app.account.membership_annual_save</t>
        </is>
      </c>
      <c r="P529" s="10" t="inlineStr">
        <is>
          <t>未执行</t>
        </is>
      </c>
      <c r="Q529" s="10" t="inlineStr"/>
      <c r="R529" s="11" t="inlineStr"/>
    </row>
    <row r="530" ht="72" customHeight="1">
      <c r="A530" s="5" t="inlineStr">
        <is>
          <t>TC-RPT-526</t>
        </is>
      </c>
      <c r="B530" s="5" t="inlineStr">
        <is>
          <t>PROD-referral_reward</t>
        </is>
      </c>
      <c r="C530" s="5" t="inlineStr">
        <is>
          <t>邀请奖励</t>
        </is>
      </c>
      <c r="D530" s="14" t="inlineStr">
        <is>
          <t>P2</t>
        </is>
      </c>
      <c r="E530" s="7" t="inlineStr">
        <is>
          <t>场景设计法</t>
        </is>
      </c>
      <c r="F530" s="7" t="inlineStr">
        <is>
          <t>账户计费</t>
        </is>
      </c>
      <c r="G530" s="7" t="inlineStr">
        <is>
          <t>是</t>
        </is>
      </c>
      <c r="H530" s="8" t="inlineStr">
        <is>
          <t>邀请成功双方各得奖励；同账号不重复</t>
        </is>
      </c>
      <c r="I530" s="8" t="inlineStr">
        <is>
          <t>邀请事件触发奖励</t>
        </is>
      </c>
      <c r="J530" s="8" t="inlineStr">
        <is>
          <t>邀请奖励正例-双方各得奖励</t>
        </is>
      </c>
      <c r="K530" s="9" t="inlineStr">
        <is>
          <t>正例</t>
        </is>
      </c>
      <c r="L530" s="8" t="inlineStr">
        <is>
          <t>1、已登录 App。
2、邀请成功。邀请人与被邀请人各得奖励额度</t>
        </is>
      </c>
      <c r="M530" s="8" t="inlineStr">
        <is>
          <t>1、已登录 App，进入复盘列表或账户相关页面。
2、打开「邀请奖励」，检查是否为双方各得。</t>
        </is>
      </c>
      <c r="N530" s="8" t="inlineStr">
        <is>
          <t>邀请奖励=双方各得</t>
        </is>
      </c>
      <c r="O530" s="8" t="inlineStr">
        <is>
          <t>app.referral.reward</t>
        </is>
      </c>
      <c r="P530" s="10" t="inlineStr">
        <is>
          <t>未执行</t>
        </is>
      </c>
      <c r="Q530" s="10" t="inlineStr"/>
      <c r="R530" s="11" t="inlineStr"/>
    </row>
    <row r="531" ht="72" customHeight="1">
      <c r="A531" s="5" t="inlineStr">
        <is>
          <t>TC-RPT-527</t>
        </is>
      </c>
      <c r="B531" s="5" t="inlineStr">
        <is>
          <t>PROD-referral_reward</t>
        </is>
      </c>
      <c r="C531" s="5" t="inlineStr">
        <is>
          <t>邀请奖励</t>
        </is>
      </c>
      <c r="D531" s="14" t="inlineStr">
        <is>
          <t>P2</t>
        </is>
      </c>
      <c r="E531" s="7" t="inlineStr">
        <is>
          <t>场景设计法</t>
        </is>
      </c>
      <c r="F531" s="7" t="inlineStr">
        <is>
          <t>账户计费</t>
        </is>
      </c>
      <c r="G531" s="7" t="inlineStr">
        <is>
          <t>是</t>
        </is>
      </c>
      <c r="H531" s="8" t="inlineStr">
        <is>
          <t>邀请成功双方各得奖励；同账号不重复</t>
        </is>
      </c>
      <c r="I531" s="8" t="inlineStr">
        <is>
          <t>邀请事件触发奖励</t>
        </is>
      </c>
      <c r="J531" s="8" t="inlineStr">
        <is>
          <t>邀请奖励反例-同一账号不重复奖励</t>
        </is>
      </c>
      <c r="K531" s="12" t="inlineStr">
        <is>
          <t>反例</t>
        </is>
      </c>
      <c r="L531" s="8" t="inlineStr">
        <is>
          <t>1、已登录 App。
2、同一账号重复触发邀请。不重复发放奖励</t>
        </is>
      </c>
      <c r="M531" s="8" t="inlineStr">
        <is>
          <t>1、已登录 App，进入复盘列表或账户相关页面。
2、打开「邀请奖励」，检查是否为不重复。</t>
        </is>
      </c>
      <c r="N531" s="8" t="inlineStr">
        <is>
          <t>邀请奖励=不重复</t>
        </is>
      </c>
      <c r="O531" s="8" t="inlineStr">
        <is>
          <t>app.referral.reward</t>
        </is>
      </c>
      <c r="P531" s="10" t="inlineStr">
        <is>
          <t>未执行</t>
        </is>
      </c>
      <c r="Q531" s="10" t="inlineStr"/>
      <c r="R531" s="11" t="inlineStr"/>
    </row>
    <row r="532" ht="72" customHeight="1">
      <c r="A532" s="5" t="inlineStr">
        <is>
          <t>TC-RPT-528</t>
        </is>
      </c>
      <c r="B532" s="5" t="inlineStr">
        <is>
          <t>-</t>
        </is>
      </c>
      <c r="C532" s="5" t="inlineStr">
        <is>
          <t>cross_field</t>
        </is>
      </c>
      <c r="D532" s="6" t="inlineStr">
        <is>
          <t>P0</t>
        </is>
      </c>
      <c r="E532" s="7" t="inlineStr">
        <is>
          <t>场景设计法</t>
        </is>
      </c>
      <c r="F532" s="7" t="inlineStr">
        <is>
          <t>整包</t>
        </is>
      </c>
      <c r="G532" s="7" t="inlineStr">
        <is>
          <t>包级</t>
        </is>
      </c>
      <c r="H532" s="8" t="inlineStr">
        <is>
          <t>GTO 三类互斥且加总等于可判断数</t>
        </is>
      </c>
      <c r="I532" s="8" t="inlineStr">
        <is>
          <t>gto_matched+acceptable+high_risk == judgeable</t>
        </is>
      </c>
      <c r="J532" s="8" t="inlineStr">
        <is>
          <t>GTO 三类互斥且加总等于可判断数</t>
        </is>
      </c>
      <c r="K532" s="9" t="inlineStr">
        <is>
          <t>正例</t>
        </is>
      </c>
      <c r="L532" s="8" t="inlineStr">
        <is>
          <t>1、已登录。
2、式子左边=右边：gto_matched+acceptable+high_risk == judgeable</t>
        </is>
      </c>
      <c r="M532" s="8" t="inlineStr">
        <is>
          <t>1、上传素材，生成复盘报告，等到能打开。
2、检查该式子是否成立。</t>
        </is>
      </c>
      <c r="N532" s="8" t="inlineStr">
        <is>
          <t>等式成立</t>
        </is>
      </c>
      <c r="O532" s="8" t="inlineStr">
        <is>
          <t>gto_matched+acceptable+high_risk == judgeable</t>
        </is>
      </c>
      <c r="P532" s="10" t="inlineStr">
        <is>
          <t>未执行</t>
        </is>
      </c>
      <c r="Q532" s="10" t="inlineStr"/>
      <c r="R532" s="11" t="inlineStr"/>
    </row>
    <row r="533" ht="72" customHeight="1">
      <c r="A533" s="5" t="inlineStr">
        <is>
          <t>TC-RPT-529</t>
        </is>
      </c>
      <c r="B533" s="5" t="inlineStr">
        <is>
          <t>-</t>
        </is>
      </c>
      <c r="C533" s="5" t="inlineStr">
        <is>
          <t>cross_field</t>
        </is>
      </c>
      <c r="D533" s="6" t="inlineStr">
        <is>
          <t>P0</t>
        </is>
      </c>
      <c r="E533" s="7" t="inlineStr">
        <is>
          <t>场景设计法</t>
        </is>
      </c>
      <c r="F533" s="7" t="inlineStr">
        <is>
          <t>整包</t>
        </is>
      </c>
      <c r="G533" s="7" t="inlineStr">
        <is>
          <t>包级</t>
        </is>
      </c>
      <c r="H533" s="8" t="inlineStr">
        <is>
          <t>GTO 匹配度由计数还原，整数百分比按舍入规则</t>
        </is>
      </c>
      <c r="I533" s="8" t="inlineStr">
        <is>
          <t>gto_match_rate == matched/judgeable</t>
        </is>
      </c>
      <c r="J533" s="8" t="inlineStr">
        <is>
          <t>GTO 匹配度由计数还原，整数百分比按舍入规则</t>
        </is>
      </c>
      <c r="K533" s="9" t="inlineStr">
        <is>
          <t>正例</t>
        </is>
      </c>
      <c r="L533" s="8" t="inlineStr">
        <is>
          <t>1、已登录。
2、式子左边=右边：gto_match_rate == matched/judgeable</t>
        </is>
      </c>
      <c r="M533" s="8" t="inlineStr">
        <is>
          <t>1、上传素材，生成复盘报告，等到能打开。
2、检查该式子是否成立。</t>
        </is>
      </c>
      <c r="N533" s="8" t="inlineStr">
        <is>
          <t>等式成立</t>
        </is>
      </c>
      <c r="O533" s="8" t="inlineStr">
        <is>
          <t>gto_match_rate == matched/judgeable</t>
        </is>
      </c>
      <c r="P533" s="10" t="inlineStr">
        <is>
          <t>未执行</t>
        </is>
      </c>
      <c r="Q533" s="10" t="inlineStr"/>
      <c r="R533" s="11" t="inlineStr"/>
    </row>
    <row r="534" ht="72" customHeight="1">
      <c r="A534" s="5" t="inlineStr">
        <is>
          <t>TC-RPT-530</t>
        </is>
      </c>
      <c r="B534" s="5" t="inlineStr">
        <is>
          <t>-</t>
        </is>
      </c>
      <c r="C534" s="5" t="inlineStr">
        <is>
          <t>traceability</t>
        </is>
      </c>
      <c r="D534" s="6" t="inlineStr">
        <is>
          <t>P0</t>
        </is>
      </c>
      <c r="E534" s="7" t="inlineStr">
        <is>
          <t>场景设计法</t>
        </is>
      </c>
      <c r="F534" s="7" t="inlineStr">
        <is>
          <t>整包</t>
        </is>
      </c>
      <c r="G534" s="7" t="inlineStr">
        <is>
          <t>是</t>
        </is>
      </c>
      <c r="H534" s="8" t="inlineStr">
        <is>
          <t>P0 用户可见字段均能从 hands[] 或决策点反推</t>
        </is>
      </c>
      <c r="I534" s="8" t="inlineStr">
        <is>
          <t>用户可见指标 ⊂ 由明细可计算集合</t>
        </is>
      </c>
      <c r="J534" s="8" t="inlineStr">
        <is>
          <t>P0 用户可见字段均能从 hands[] 或决策点反推</t>
        </is>
      </c>
      <c r="K534" s="9" t="inlineStr">
        <is>
          <t>正例</t>
        </is>
      </c>
      <c r="L534" s="8" t="inlineStr">
        <is>
          <t>1、已登录。
2、用户可见字段的明细手算值=汇总</t>
        </is>
      </c>
      <c r="M534" s="8" t="inlineStr">
        <is>
          <t>1、上传素材，生成复盘报告，等到能打开。
2、打开用户可见字段，检查是否等于明细手算。</t>
        </is>
      </c>
      <c r="N534" s="8" t="inlineStr">
        <is>
          <t>用户可见字段=明细手算</t>
        </is>
      </c>
      <c r="O534" s="8" t="inlineStr">
        <is>
          <t>*</t>
        </is>
      </c>
      <c r="P534" s="10" t="inlineStr">
        <is>
          <t>未执行</t>
        </is>
      </c>
      <c r="Q534" s="10" t="inlineStr"/>
      <c r="R534" s="11" t="inlineStr"/>
    </row>
    <row r="535" ht="72" customHeight="1">
      <c r="A535" s="5" t="inlineStr">
        <is>
          <t>TC-RPT-531</t>
        </is>
      </c>
      <c r="B535" s="5" t="inlineStr">
        <is>
          <t>-</t>
        </is>
      </c>
      <c r="C535" s="5" t="inlineStr">
        <is>
          <t>cross_field</t>
        </is>
      </c>
      <c r="D535" s="6" t="inlineStr">
        <is>
          <t>P0</t>
        </is>
      </c>
      <c r="E535" s="7" t="inlineStr">
        <is>
          <t>场景设计法</t>
        </is>
      </c>
      <c r="F535" s="7" t="inlineStr">
        <is>
          <t>整包</t>
        </is>
      </c>
      <c r="G535" s="7" t="inlineStr">
        <is>
          <t>包级</t>
        </is>
      </c>
      <c r="H535" s="8" t="inlineStr">
        <is>
          <t>hands[] 条数等于总手数</t>
        </is>
      </c>
      <c r="I535" s="8" t="inlineStr">
        <is>
          <t>hands.length == session_summary.total_hands</t>
        </is>
      </c>
      <c r="J535" s="8" t="inlineStr">
        <is>
          <t>hands[] 条数等于总手数</t>
        </is>
      </c>
      <c r="K535" s="9" t="inlineStr">
        <is>
          <t>正例</t>
        </is>
      </c>
      <c r="L535" s="8" t="inlineStr">
        <is>
          <t>1、已登录。
2、式子左边=右边：hands.length == session_summary.total_hands</t>
        </is>
      </c>
      <c r="M535" s="8" t="inlineStr">
        <is>
          <t>1、上传素材，生成复盘报告，等到能打开。
2、检查该式子是否成立。</t>
        </is>
      </c>
      <c r="N535" s="8" t="inlineStr">
        <is>
          <t>等式成立</t>
        </is>
      </c>
      <c r="O535" s="8" t="inlineStr">
        <is>
          <t>hands.length == session_summary.total_hands</t>
        </is>
      </c>
      <c r="P535" s="10" t="inlineStr">
        <is>
          <t>未执行</t>
        </is>
      </c>
      <c r="Q535" s="10" t="inlineStr"/>
      <c r="R535" s="11" t="inlineStr"/>
    </row>
    <row r="536" ht="72" customHeight="1">
      <c r="A536" s="5" t="inlineStr">
        <is>
          <t>TC-RPT-532</t>
        </is>
      </c>
      <c r="B536" s="5" t="inlineStr">
        <is>
          <t>-</t>
        </is>
      </c>
      <c r="C536" s="5" t="inlineStr">
        <is>
          <t>cross_field</t>
        </is>
      </c>
      <c r="D536" s="6" t="inlineStr">
        <is>
          <t>P0</t>
        </is>
      </c>
      <c r="E536" s="7" t="inlineStr">
        <is>
          <t>场景设计法</t>
        </is>
      </c>
      <c r="F536" s="7" t="inlineStr">
        <is>
          <t>整包</t>
        </is>
      </c>
      <c r="G536" s="7" t="inlineStr">
        <is>
          <t>包级</t>
        </is>
      </c>
      <c r="H536" s="8" t="inlineStr">
        <is>
          <t>任一比率可用分子分母还原（按声明舍入）</t>
        </is>
      </c>
      <c r="I536" s="8" t="inlineStr">
        <is>
          <t>rate * denominator == numerator</t>
        </is>
      </c>
      <c r="J536" s="8" t="inlineStr">
        <is>
          <t>任一比率可用分子分母还原（按声明舍入）</t>
        </is>
      </c>
      <c r="K536" s="9" t="inlineStr">
        <is>
          <t>正例</t>
        </is>
      </c>
      <c r="L536" s="8" t="inlineStr">
        <is>
          <t>1、已登录。
2、式子左边=右边：rate * denominator == numerator</t>
        </is>
      </c>
      <c r="M536" s="8" t="inlineStr">
        <is>
          <t>1、上传素材，生成复盘报告，等到能打开。
2、检查该式子是否成立。</t>
        </is>
      </c>
      <c r="N536" s="8" t="inlineStr">
        <is>
          <t>等式成立</t>
        </is>
      </c>
      <c r="O536" s="8" t="inlineStr">
        <is>
          <t>rate * denominator == numerator</t>
        </is>
      </c>
      <c r="P536" s="10" t="inlineStr">
        <is>
          <t>未执行</t>
        </is>
      </c>
      <c r="Q536" s="10" t="inlineStr"/>
      <c r="R536" s="11" t="inlineStr"/>
    </row>
    <row r="537" ht="72" customHeight="1">
      <c r="A537" s="5" t="inlineStr">
        <is>
          <t>TC-RPT-533</t>
        </is>
      </c>
      <c r="B537" s="5" t="inlineStr">
        <is>
          <t>-</t>
        </is>
      </c>
      <c r="C537" s="5" t="inlineStr">
        <is>
          <t>cross_field</t>
        </is>
      </c>
      <c r="D537" s="6" t="inlineStr">
        <is>
          <t>P0</t>
        </is>
      </c>
      <c r="E537" s="7" t="inlineStr">
        <is>
          <t>场景设计法</t>
        </is>
      </c>
      <c r="F537" s="7" t="inlineStr">
        <is>
          <t>整包</t>
        </is>
      </c>
      <c r="G537" s="7" t="inlineStr">
        <is>
          <t>包级</t>
        </is>
      </c>
      <c r="H537" s="8" t="inlineStr">
        <is>
          <t>单手 BB 盈亏之和等于整场 BB（按手换算后加总）</t>
        </is>
      </c>
      <c r="I537" s="8" t="inlineStr">
        <is>
          <t>sum(hands.hand_profit_bb) == profit_ev_summary.total_profit_bb</t>
        </is>
      </c>
      <c r="J537" s="8" t="inlineStr">
        <is>
          <t>单手 BB 盈亏之和等于整场 BB（按手换算后加总）</t>
        </is>
      </c>
      <c r="K537" s="9" t="inlineStr">
        <is>
          <t>正例</t>
        </is>
      </c>
      <c r="L537" s="8" t="inlineStr">
        <is>
          <t>1、已登录。
2、式子左边=右边：sum(hands.hand_profit_bb) == profit_ev_summary.total_profit_bb</t>
        </is>
      </c>
      <c r="M537" s="8" t="inlineStr">
        <is>
          <t>1、上传素材，生成复盘报告，等到能打开。
2、检查该式子是否成立。</t>
        </is>
      </c>
      <c r="N537" s="8" t="inlineStr">
        <is>
          <t>等式成立</t>
        </is>
      </c>
      <c r="O537" s="8" t="inlineStr">
        <is>
          <t>sum(hands.hand_profit_bb) == profit_ev_summary.total_profit_bb</t>
        </is>
      </c>
      <c r="P537" s="10" t="inlineStr">
        <is>
          <t>未执行</t>
        </is>
      </c>
      <c r="Q537" s="10" t="inlineStr"/>
      <c r="R537" s="11" t="inlineStr"/>
    </row>
    <row r="538" ht="72" customHeight="1">
      <c r="A538" s="5" t="inlineStr">
        <is>
          <t>TC-RPT-534</t>
        </is>
      </c>
      <c r="B538" s="5" t="inlineStr">
        <is>
          <t>-</t>
        </is>
      </c>
      <c r="C538" s="5" t="inlineStr">
        <is>
          <t>cross_field</t>
        </is>
      </c>
      <c r="D538" s="6" t="inlineStr">
        <is>
          <t>P0</t>
        </is>
      </c>
      <c r="E538" s="7" t="inlineStr">
        <is>
          <t>场景设计法</t>
        </is>
      </c>
      <c r="F538" s="7" t="inlineStr">
        <is>
          <t>整包</t>
        </is>
      </c>
      <c r="G538" s="7" t="inlineStr">
        <is>
          <t>包级</t>
        </is>
      </c>
      <c r="H538" s="8" t="inlineStr">
        <is>
          <t>单手筹码盈亏之和等于整场筹码盈亏</t>
        </is>
      </c>
      <c r="I538" s="8" t="inlineStr">
        <is>
          <t>sum(hands.hand_profit_chips) == profit_ev_summary.total_profit_chips</t>
        </is>
      </c>
      <c r="J538" s="8" t="inlineStr">
        <is>
          <t>单手筹码盈亏之和等于整场筹码盈亏</t>
        </is>
      </c>
      <c r="K538" s="9" t="inlineStr">
        <is>
          <t>正例</t>
        </is>
      </c>
      <c r="L538" s="8" t="inlineStr">
        <is>
          <t>1、已登录。
2、式子左边=右边：sum(hands.hand_profit_chips) == profit_ev_summary.total_profit_chips</t>
        </is>
      </c>
      <c r="M538" s="8" t="inlineStr">
        <is>
          <t>1、上传素材，生成复盘报告，等到能打开。
2、检查该式子是否成立。</t>
        </is>
      </c>
      <c r="N538" s="8" t="inlineStr">
        <is>
          <t>等式成立</t>
        </is>
      </c>
      <c r="O538" s="8" t="inlineStr">
        <is>
          <t>sum(hands.hand_profit_chips) == profit_ev_summary.total_profit_chips</t>
        </is>
      </c>
      <c r="P538" s="10" t="inlineStr">
        <is>
          <t>未执行</t>
        </is>
      </c>
      <c r="Q538" s="10" t="inlineStr"/>
      <c r="R538" s="11" t="inlineStr"/>
    </row>
    <row r="539" ht="72" customHeight="1">
      <c r="A539" s="5" t="inlineStr">
        <is>
          <t>TC-RPT-535</t>
        </is>
      </c>
      <c r="B539" s="5" t="inlineStr">
        <is>
          <t>-</t>
        </is>
      </c>
      <c r="C539" s="5" t="inlineStr">
        <is>
          <t>cross_field</t>
        </is>
      </c>
      <c r="D539" s="6" t="inlineStr">
        <is>
          <t>P0</t>
        </is>
      </c>
      <c r="E539" s="7" t="inlineStr">
        <is>
          <t>场景设计法</t>
        </is>
      </c>
      <c r="F539" s="7" t="inlineStr">
        <is>
          <t>整包</t>
        </is>
      </c>
      <c r="G539" s="7" t="inlineStr">
        <is>
          <t>包级</t>
        </is>
      </c>
      <c r="H539" s="8" t="inlineStr">
        <is>
          <t>各位置筹码盈亏之和等于整场</t>
        </is>
      </c>
      <c r="I539" s="8" t="inlineStr">
        <is>
          <t>sum(position profit chips) == total_profit_chips</t>
        </is>
      </c>
      <c r="J539" s="8" t="inlineStr">
        <is>
          <t>各位置筹码盈亏之和等于整场</t>
        </is>
      </c>
      <c r="K539" s="9" t="inlineStr">
        <is>
          <t>正例</t>
        </is>
      </c>
      <c r="L539" s="8" t="inlineStr">
        <is>
          <t>1、已登录。
2、式子左边=右边：sum(position profit chips) == total_profit_chips</t>
        </is>
      </c>
      <c r="M539" s="8" t="inlineStr">
        <is>
          <t>1、上传素材，生成复盘报告，等到能打开。
2、检查该式子是否成立。</t>
        </is>
      </c>
      <c r="N539" s="8" t="inlineStr">
        <is>
          <t>等式成立</t>
        </is>
      </c>
      <c r="O539" s="8" t="inlineStr">
        <is>
          <t>sum(position profit chips) == total_profit_chips</t>
        </is>
      </c>
      <c r="P539" s="10" t="inlineStr">
        <is>
          <t>未执行</t>
        </is>
      </c>
      <c r="Q539" s="10" t="inlineStr"/>
      <c r="R539" s="11" t="inlineStr"/>
    </row>
    <row r="540" ht="72" customHeight="1">
      <c r="A540" s="5" t="inlineStr">
        <is>
          <t>TC-RPT-536</t>
        </is>
      </c>
      <c r="B540" s="5" t="inlineStr">
        <is>
          <t>-</t>
        </is>
      </c>
      <c r="C540" s="5" t="inlineStr">
        <is>
          <t>cross_field</t>
        </is>
      </c>
      <c r="D540" s="6" t="inlineStr">
        <is>
          <t>P0</t>
        </is>
      </c>
      <c r="E540" s="7" t="inlineStr">
        <is>
          <t>场景设计法</t>
        </is>
      </c>
      <c r="F540" s="7" t="inlineStr">
        <is>
          <t>整包</t>
        </is>
      </c>
      <c r="G540" s="7" t="inlineStr">
        <is>
          <t>包级</t>
        </is>
      </c>
      <c r="H540" s="8" t="inlineStr">
        <is>
          <t>四舍五入前可接受+高风险=100%，展示允许 1 个百分点误差</t>
        </is>
      </c>
      <c r="I540" s="8" t="inlineStr">
        <is>
          <t>acceptable_decision_rate + high_risk_decision_rate == 100%</t>
        </is>
      </c>
      <c r="J540" s="8" t="inlineStr">
        <is>
          <t>四舍五入前可接受+高风险=100%，展示允许 1 个百分点误差</t>
        </is>
      </c>
      <c r="K540" s="9" t="inlineStr">
        <is>
          <t>正例</t>
        </is>
      </c>
      <c r="L540" s="8" t="inlineStr">
        <is>
          <t>1、已登录。
2、式子左边=右边：acceptable_decision_rate + high_risk_decision_rate == 100%</t>
        </is>
      </c>
      <c r="M540" s="8" t="inlineStr">
        <is>
          <t>1、上传素材，生成复盘报告，等到能打开。
2、检查该式子是否成立。</t>
        </is>
      </c>
      <c r="N540" s="8" t="inlineStr">
        <is>
          <t>等式成立</t>
        </is>
      </c>
      <c r="O540" s="8" t="inlineStr">
        <is>
          <t>acceptable_decision_rate + high_risk_decision_rate == 100%</t>
        </is>
      </c>
      <c r="P540" s="10" t="inlineStr">
        <is>
          <t>未执行</t>
        </is>
      </c>
      <c r="Q540" s="10" t="inlineStr"/>
      <c r="R540" s="11" t="inlineStr"/>
    </row>
    <row r="541" ht="72" customHeight="1">
      <c r="A541" s="5" t="inlineStr">
        <is>
          <t>TC-RPT-537</t>
        </is>
      </c>
      <c r="B541" s="5" t="inlineStr">
        <is>
          <t>-</t>
        </is>
      </c>
      <c r="C541" s="5" t="inlineStr">
        <is>
          <t>gto_decision_points</t>
        </is>
      </c>
      <c r="D541" s="6" t="inlineStr">
        <is>
          <t>P0</t>
        </is>
      </c>
      <c r="E541" s="7" t="inlineStr">
        <is>
          <t>场景设计法</t>
        </is>
      </c>
      <c r="F541" s="7" t="inlineStr">
        <is>
          <t>GTO决策</t>
        </is>
      </c>
      <c r="G541" s="7" t="inlineStr">
        <is>
          <t>包级</t>
        </is>
      </c>
      <c r="H541" s="8" t="inlineStr">
        <is>
          <t>整包存在对象 gto_decision_points 且粒度正确</t>
        </is>
      </c>
      <c r="I541" s="8" t="inlineStr">
        <is>
          <t>04_数据包结构</t>
        </is>
      </c>
      <c r="J541" s="8" t="inlineStr">
        <is>
          <t>整包存在对象 gto_decision_points 且粒度正确</t>
        </is>
      </c>
      <c r="K541" s="9" t="inlineStr">
        <is>
          <t>正例</t>
        </is>
      </c>
      <c r="L541" s="8" t="inlineStr">
        <is>
          <t>1、已登录。
2、自己入座的牌局应有对象「gto_decision_points」；登录用户旁观未入座/无关视频不应有完整战绩包</t>
        </is>
      </c>
      <c r="M541" s="8" t="inlineStr">
        <is>
          <t>1、上传素材，生成复盘报告，等到能打开。
2、检查整包是否有「gto_decision_points」。
3、再用旁观未入座/无关视频生成一次，检查不应出现完整战绩包。</t>
        </is>
      </c>
      <c r="N541" s="8" t="inlineStr">
        <is>
          <t>入座场有「gto_decision_points」；旁观未入座/无关没有完整战绩包</t>
        </is>
      </c>
      <c r="O541" s="8" t="inlineStr">
        <is>
          <t>gto_decision_points</t>
        </is>
      </c>
      <c r="P541" s="10" t="inlineStr">
        <is>
          <t>未执行</t>
        </is>
      </c>
      <c r="Q541" s="10" t="inlineStr"/>
      <c r="R541" s="11" t="inlineStr"/>
    </row>
    <row r="542" ht="72" customHeight="1">
      <c r="A542" s="5" t="inlineStr">
        <is>
          <t>TC-RPT-538</t>
        </is>
      </c>
      <c r="B542" s="5" t="inlineStr">
        <is>
          <t>-</t>
        </is>
      </c>
      <c r="C542" s="5" t="inlineStr">
        <is>
          <t>hands</t>
        </is>
      </c>
      <c r="D542" s="6" t="inlineStr">
        <is>
          <t>P0</t>
        </is>
      </c>
      <c r="E542" s="7" t="inlineStr">
        <is>
          <t>场景设计法</t>
        </is>
      </c>
      <c r="F542" s="7" t="inlineStr">
        <is>
          <t>单手牌</t>
        </is>
      </c>
      <c r="G542" s="7" t="inlineStr">
        <is>
          <t>包级</t>
        </is>
      </c>
      <c r="H542" s="8" t="inlineStr">
        <is>
          <t>整包存在对象 hands 且粒度正确</t>
        </is>
      </c>
      <c r="I542" s="8" t="inlineStr">
        <is>
          <t>04_数据包结构</t>
        </is>
      </c>
      <c r="J542" s="8" t="inlineStr">
        <is>
          <t>整包存在对象 hands 且粒度正确</t>
        </is>
      </c>
      <c r="K542" s="9" t="inlineStr">
        <is>
          <t>正例</t>
        </is>
      </c>
      <c r="L542" s="8" t="inlineStr">
        <is>
          <t>1、已登录。
2、自己入座的牌局应有对象「hands」；登录用户旁观未入座/无关视频不应有完整战绩包</t>
        </is>
      </c>
      <c r="M542" s="8" t="inlineStr">
        <is>
          <t>1、上传素材，生成复盘报告，等到能打开。
2、检查整包是否有「hands」。
3、再用旁观未入座/无关视频生成一次，检查不应出现完整战绩包。</t>
        </is>
      </c>
      <c r="N542" s="8" t="inlineStr">
        <is>
          <t>入座场有「hands」；旁观未入座/无关没有完整战绩包</t>
        </is>
      </c>
      <c r="O542" s="8" t="inlineStr">
        <is>
          <t>hands</t>
        </is>
      </c>
      <c r="P542" s="10" t="inlineStr">
        <is>
          <t>未执行</t>
        </is>
      </c>
      <c r="Q542" s="10" t="inlineStr"/>
      <c r="R542" s="11" t="inlineStr"/>
    </row>
    <row r="543" ht="72" customHeight="1">
      <c r="A543" s="5" t="inlineStr">
        <is>
          <t>TC-RPT-539</t>
        </is>
      </c>
      <c r="B543" s="5" t="inlineStr">
        <is>
          <t>-</t>
        </is>
      </c>
      <c r="C543" s="5" t="inlineStr">
        <is>
          <t>opponent_stats</t>
        </is>
      </c>
      <c r="D543" s="6" t="inlineStr">
        <is>
          <t>P0</t>
        </is>
      </c>
      <c r="E543" s="7" t="inlineStr">
        <is>
          <t>场景设计法</t>
        </is>
      </c>
      <c r="F543" s="7" t="inlineStr">
        <is>
          <t>对手数据</t>
        </is>
      </c>
      <c r="G543" s="7" t="inlineStr">
        <is>
          <t>包级</t>
        </is>
      </c>
      <c r="H543" s="8" t="inlineStr">
        <is>
          <t>整包存在对象 opponent_stats 且粒度正确</t>
        </is>
      </c>
      <c r="I543" s="8" t="inlineStr">
        <is>
          <t>04_数据包结构</t>
        </is>
      </c>
      <c r="J543" s="8" t="inlineStr">
        <is>
          <t>整包存在对象 opponent_stats 且粒度正确</t>
        </is>
      </c>
      <c r="K543" s="9" t="inlineStr">
        <is>
          <t>正例</t>
        </is>
      </c>
      <c r="L543" s="8" t="inlineStr">
        <is>
          <t>1、已登录。
2、自己入座的牌局应有对象「opponent_stats」；登录用户旁观未入座/无关视频不应有完整战绩包</t>
        </is>
      </c>
      <c r="M543" s="8" t="inlineStr">
        <is>
          <t>1、上传素材，生成复盘报告，等到能打开。
2、检查整包是否有「opponent_stats」。
3、再用旁观未入座/无关视频生成一次，检查不应出现完整战绩包。</t>
        </is>
      </c>
      <c r="N543" s="8" t="inlineStr">
        <is>
          <t>入座场有「opponent_stats」；旁观未入座/无关没有完整战绩包</t>
        </is>
      </c>
      <c r="O543" s="8" t="inlineStr">
        <is>
          <t>opponent_stats</t>
        </is>
      </c>
      <c r="P543" s="10" t="inlineStr">
        <is>
          <t>未执行</t>
        </is>
      </c>
      <c r="Q543" s="10" t="inlineStr"/>
      <c r="R543" s="11" t="inlineStr"/>
    </row>
    <row r="544" ht="72" customHeight="1">
      <c r="A544" s="5" t="inlineStr">
        <is>
          <t>TC-RPT-540</t>
        </is>
      </c>
      <c r="B544" s="5" t="inlineStr">
        <is>
          <t>-</t>
        </is>
      </c>
      <c r="C544" s="5" t="inlineStr">
        <is>
          <t>position_stats</t>
        </is>
      </c>
      <c r="D544" s="6" t="inlineStr">
        <is>
          <t>P0</t>
        </is>
      </c>
      <c r="E544" s="7" t="inlineStr">
        <is>
          <t>场景设计法</t>
        </is>
      </c>
      <c r="F544" s="7" t="inlineStr">
        <is>
          <t>位置数据</t>
        </is>
      </c>
      <c r="G544" s="7" t="inlineStr">
        <is>
          <t>包级</t>
        </is>
      </c>
      <c r="H544" s="8" t="inlineStr">
        <is>
          <t>整包存在对象 position_stats 且粒度正确</t>
        </is>
      </c>
      <c r="I544" s="8" t="inlineStr">
        <is>
          <t>04_数据包结构</t>
        </is>
      </c>
      <c r="J544" s="8" t="inlineStr">
        <is>
          <t>整包存在对象 position_stats 且粒度正确</t>
        </is>
      </c>
      <c r="K544" s="9" t="inlineStr">
        <is>
          <t>正例</t>
        </is>
      </c>
      <c r="L544" s="8" t="inlineStr">
        <is>
          <t>1、已登录。
2、自己入座的牌局应有对象「position_stats」；登录用户旁观未入座/无关视频不应有完整战绩包</t>
        </is>
      </c>
      <c r="M544" s="8" t="inlineStr">
        <is>
          <t>1、上传素材，生成复盘报告，等到能打开。
2、检查整包是否有「position_stats」。
3、再用旁观未入座/无关视频生成一次，检查不应出现完整战绩包。</t>
        </is>
      </c>
      <c r="N544" s="8" t="inlineStr">
        <is>
          <t>入座场有「position_stats」；旁观未入座/无关没有完整战绩包</t>
        </is>
      </c>
      <c r="O544" s="8" t="inlineStr">
        <is>
          <t>position_stats</t>
        </is>
      </c>
      <c r="P544" s="10" t="inlineStr">
        <is>
          <t>未执行</t>
        </is>
      </c>
      <c r="Q544" s="10" t="inlineStr"/>
      <c r="R544" s="11" t="inlineStr"/>
    </row>
    <row r="545" ht="72" customHeight="1">
      <c r="A545" s="5" t="inlineStr">
        <is>
          <t>TC-RPT-541</t>
        </is>
      </c>
      <c r="B545" s="5" t="inlineStr">
        <is>
          <t>-</t>
        </is>
      </c>
      <c r="C545" s="5" t="inlineStr">
        <is>
          <t>profit_ev_summary</t>
        </is>
      </c>
      <c r="D545" s="6" t="inlineStr">
        <is>
          <t>P0</t>
        </is>
      </c>
      <c r="E545" s="7" t="inlineStr">
        <is>
          <t>场景设计法</t>
        </is>
      </c>
      <c r="F545" s="7" t="inlineStr">
        <is>
          <t>盈亏EV</t>
        </is>
      </c>
      <c r="G545" s="7" t="inlineStr">
        <is>
          <t>包级</t>
        </is>
      </c>
      <c r="H545" s="8" t="inlineStr">
        <is>
          <t>整包存在对象 profit_ev_summary 且粒度正确</t>
        </is>
      </c>
      <c r="I545" s="8" t="inlineStr">
        <is>
          <t>04_数据包结构</t>
        </is>
      </c>
      <c r="J545" s="8" t="inlineStr">
        <is>
          <t>整包存在对象 profit_ev_summary 且粒度正确</t>
        </is>
      </c>
      <c r="K545" s="9" t="inlineStr">
        <is>
          <t>正例</t>
        </is>
      </c>
      <c r="L545" s="8" t="inlineStr">
        <is>
          <t>1、已登录。
2、自己入座的牌局应有对象「profit_ev_summary」；登录用户旁观未入座/无关视频不应有完整战绩包</t>
        </is>
      </c>
      <c r="M545" s="8" t="inlineStr">
        <is>
          <t>1、上传素材，生成复盘报告，等到能打开。
2、检查整包是否有「profit_ev_summary」。
3、再用旁观未入座/无关视频生成一次，检查不应出现完整战绩包。</t>
        </is>
      </c>
      <c r="N545" s="8" t="inlineStr">
        <is>
          <t>入座场有「profit_ev_summary」；旁观未入座/无关没有完整战绩包</t>
        </is>
      </c>
      <c r="O545" s="8" t="inlineStr">
        <is>
          <t>profit_ev_summary</t>
        </is>
      </c>
      <c r="P545" s="10" t="inlineStr">
        <is>
          <t>未执行</t>
        </is>
      </c>
      <c r="Q545" s="10" t="inlineStr"/>
      <c r="R545" s="11" t="inlineStr"/>
    </row>
    <row r="546" ht="72" customHeight="1">
      <c r="A546" s="5" t="inlineStr">
        <is>
          <t>TC-RPT-542</t>
        </is>
      </c>
      <c r="B546" s="5" t="inlineStr">
        <is>
          <t>-</t>
        </is>
      </c>
      <c r="C546" s="5" t="inlineStr">
        <is>
          <t>session_summary</t>
        </is>
      </c>
      <c r="D546" s="6" t="inlineStr">
        <is>
          <t>P0</t>
        </is>
      </c>
      <c r="E546" s="7" t="inlineStr">
        <is>
          <t>场景设计法</t>
        </is>
      </c>
      <c r="F546" s="7" t="inlineStr">
        <is>
          <t>Session基础</t>
        </is>
      </c>
      <c r="G546" s="7" t="inlineStr">
        <is>
          <t>包级</t>
        </is>
      </c>
      <c r="H546" s="8" t="inlineStr">
        <is>
          <t>整包存在对象 session_summary 且粒度正确</t>
        </is>
      </c>
      <c r="I546" s="8" t="inlineStr">
        <is>
          <t>04_数据包结构</t>
        </is>
      </c>
      <c r="J546" s="8" t="inlineStr">
        <is>
          <t>整包存在对象 session_summary 且粒度正确</t>
        </is>
      </c>
      <c r="K546" s="9" t="inlineStr">
        <is>
          <t>正例</t>
        </is>
      </c>
      <c r="L546" s="8" t="inlineStr">
        <is>
          <t>1、已登录。
2、自己入座的牌局应有对象「session_summary」；登录用户旁观未入座/无关视频不应有完整战绩包</t>
        </is>
      </c>
      <c r="M546" s="8" t="inlineStr">
        <is>
          <t>1、上传素材，生成复盘报告，等到能打开。
2、检查整包是否有「session_summary」。
3、再用旁观未入座/无关视频生成一次，检查不应出现完整战绩包。</t>
        </is>
      </c>
      <c r="N546" s="8" t="inlineStr">
        <is>
          <t>入座场有「session_summary」；旁观未入座/无关没有完整战绩包</t>
        </is>
      </c>
      <c r="O546" s="8" t="inlineStr">
        <is>
          <t>session_summary</t>
        </is>
      </c>
      <c r="P546" s="10" t="inlineStr">
        <is>
          <t>未执行</t>
        </is>
      </c>
      <c r="Q546" s="10" t="inlineStr"/>
      <c r="R546" s="11" t="inlineStr"/>
    </row>
    <row r="547" ht="72" customHeight="1">
      <c r="A547" s="5" t="inlineStr">
        <is>
          <t>TC-RPT-543</t>
        </is>
      </c>
      <c r="B547" s="5" t="inlineStr">
        <is>
          <t>-</t>
        </is>
      </c>
      <c r="C547" s="5" t="inlineStr">
        <is>
          <t>style_profile_stats</t>
        </is>
      </c>
      <c r="D547" s="6" t="inlineStr">
        <is>
          <t>P0</t>
        </is>
      </c>
      <c r="E547" s="7" t="inlineStr">
        <is>
          <t>场景设计法</t>
        </is>
      </c>
      <c r="F547" s="7" t="inlineStr">
        <is>
          <t>打法画像</t>
        </is>
      </c>
      <c r="G547" s="7" t="inlineStr">
        <is>
          <t>包级</t>
        </is>
      </c>
      <c r="H547" s="8" t="inlineStr">
        <is>
          <t>整包存在对象 style_profile_stats 且粒度正确</t>
        </is>
      </c>
      <c r="I547" s="8" t="inlineStr">
        <is>
          <t>04_数据包结构</t>
        </is>
      </c>
      <c r="J547" s="8" t="inlineStr">
        <is>
          <t>整包存在对象 style_profile_stats 且粒度正确</t>
        </is>
      </c>
      <c r="K547" s="9" t="inlineStr">
        <is>
          <t>正例</t>
        </is>
      </c>
      <c r="L547" s="8" t="inlineStr">
        <is>
          <t>1、已登录。
2、自己入座的牌局应有对象「style_profile_stats」；登录用户旁观未入座/无关视频不应有完整战绩包</t>
        </is>
      </c>
      <c r="M547" s="8" t="inlineStr">
        <is>
          <t>1、上传素材，生成复盘报告，等到能打开。
2、检查整包是否有「style_profile_stats」。
3、再用旁观未入座/无关视频生成一次，检查不应出现完整战绩包。</t>
        </is>
      </c>
      <c r="N547" s="8" t="inlineStr">
        <is>
          <t>入座场有「style_profile_stats」；旁观未入座/无关没有完整战绩包</t>
        </is>
      </c>
      <c r="O547" s="8" t="inlineStr">
        <is>
          <t>style_profile_stats</t>
        </is>
      </c>
      <c r="P547" s="10" t="inlineStr">
        <is>
          <t>未执行</t>
        </is>
      </c>
      <c r="Q547" s="10" t="inlineStr"/>
      <c r="R547" s="11" t="inlineStr"/>
    </row>
    <row r="548" ht="72" customHeight="1">
      <c r="A548" s="5" t="inlineStr">
        <is>
          <t>TC-RPT-544</t>
        </is>
      </c>
      <c r="B548" s="5" t="inlineStr">
        <is>
          <t>-</t>
        </is>
      </c>
      <c r="C548" s="5" t="inlineStr">
        <is>
          <t>timeline_stats</t>
        </is>
      </c>
      <c r="D548" s="6" t="inlineStr">
        <is>
          <t>P0</t>
        </is>
      </c>
      <c r="E548" s="7" t="inlineStr">
        <is>
          <t>场景设计法</t>
        </is>
      </c>
      <c r="F548" s="7" t="inlineStr">
        <is>
          <t>心态波动</t>
        </is>
      </c>
      <c r="G548" s="7" t="inlineStr">
        <is>
          <t>包级</t>
        </is>
      </c>
      <c r="H548" s="8" t="inlineStr">
        <is>
          <t>整包存在对象 timeline_stats 且粒度正确</t>
        </is>
      </c>
      <c r="I548" s="8" t="inlineStr">
        <is>
          <t>04_数据包结构</t>
        </is>
      </c>
      <c r="J548" s="8" t="inlineStr">
        <is>
          <t>整包存在对象 timeline_stats 且粒度正确</t>
        </is>
      </c>
      <c r="K548" s="9" t="inlineStr">
        <is>
          <t>正例</t>
        </is>
      </c>
      <c r="L548" s="8" t="inlineStr">
        <is>
          <t>1、已登录。
2、自己入座的牌局应有对象「timeline_stats」；登录用户旁观未入座/无关视频不应有完整战绩包</t>
        </is>
      </c>
      <c r="M548" s="8" t="inlineStr">
        <is>
          <t>1、上传素材，生成复盘报告，等到能打开。
2、检查整包是否有「timeline_stats」。
3、再用旁观未入座/无关视频生成一次，检查不应出现完整战绩包。</t>
        </is>
      </c>
      <c r="N548" s="8" t="inlineStr">
        <is>
          <t>入座场有「timeline_stats」；旁观未入座/无关没有完整战绩包</t>
        </is>
      </c>
      <c r="O548" s="8" t="inlineStr">
        <is>
          <t>timeline_stats</t>
        </is>
      </c>
      <c r="P548" s="10" t="inlineStr">
        <is>
          <t>未执行</t>
        </is>
      </c>
      <c r="Q548" s="10" t="inlineStr"/>
      <c r="R548" s="11" t="inlineStr"/>
    </row>
    <row r="549" ht="72" customHeight="1">
      <c r="A549" s="5" t="inlineStr">
        <is>
          <t>TC-RPT-545</t>
        </is>
      </c>
      <c r="B549" s="5" t="inlineStr">
        <is>
          <t>-</t>
        </is>
      </c>
      <c r="C549" s="5" t="inlineStr">
        <is>
          <t>cross_field</t>
        </is>
      </c>
      <c r="D549" s="6" t="inlineStr">
        <is>
          <t>P0</t>
        </is>
      </c>
      <c r="E549" s="7" t="inlineStr">
        <is>
          <t>场景设计法</t>
        </is>
      </c>
      <c r="F549" s="7" t="inlineStr">
        <is>
          <t>整包</t>
        </is>
      </c>
      <c r="G549" s="7" t="inlineStr">
        <is>
          <t>包级</t>
        </is>
      </c>
      <c r="H549" s="8" t="inlineStr">
        <is>
          <t>用户可见字段与内部同名指标同一值</t>
        </is>
      </c>
      <c r="I549" s="8" t="inlineStr">
        <is>
          <t>user-visible value == internal same code</t>
        </is>
      </c>
      <c r="J549" s="8" t="inlineStr">
        <is>
          <t>用户可见字段与内部同名指标同一值</t>
        </is>
      </c>
      <c r="K549" s="9" t="inlineStr">
        <is>
          <t>正例</t>
        </is>
      </c>
      <c r="L549" s="8" t="inlineStr">
        <is>
          <t>1、已登录。
2、式子左边=右边：user-visible value == internal same code</t>
        </is>
      </c>
      <c r="M549" s="8" t="inlineStr">
        <is>
          <t>1、上传素材，生成复盘报告，等到能打开。
2、检查该式子是否成立。</t>
        </is>
      </c>
      <c r="N549" s="8" t="inlineStr">
        <is>
          <t>等式成立</t>
        </is>
      </c>
      <c r="O549" s="8" t="inlineStr">
        <is>
          <t>user-visible value == internal same code</t>
        </is>
      </c>
      <c r="P549" s="10" t="inlineStr">
        <is>
          <t>未执行</t>
        </is>
      </c>
      <c r="Q549" s="10" t="inlineStr"/>
      <c r="R549" s="11" t="inlineStr"/>
    </row>
    <row r="550" ht="72" customHeight="1">
      <c r="A550" s="5" t="inlineStr">
        <is>
          <t>TC-RPT-546</t>
        </is>
      </c>
      <c r="B550" s="5" t="inlineStr">
        <is>
          <t>-</t>
        </is>
      </c>
      <c r="C550" s="5" t="inlineStr">
        <is>
          <t>cross_field</t>
        </is>
      </c>
      <c r="D550" s="6" t="inlineStr">
        <is>
          <t>P0</t>
        </is>
      </c>
      <c r="E550" s="7" t="inlineStr">
        <is>
          <t>场景设计法</t>
        </is>
      </c>
      <c r="F550" s="7" t="inlineStr">
        <is>
          <t>整包</t>
        </is>
      </c>
      <c r="G550" s="7" t="inlineStr">
        <is>
          <t>包级</t>
        </is>
      </c>
      <c r="H550" s="8" t="inlineStr">
        <is>
          <t>盈亏手数不大于总手数，且与单手符号一致</t>
        </is>
      </c>
      <c r="I550" s="8" t="inlineStr">
        <is>
          <t>winning+losing+breakeven &lt;= total_hands</t>
        </is>
      </c>
      <c r="J550" s="8" t="inlineStr">
        <is>
          <t>盈亏手数不大于总手数，且与单手符号一致</t>
        </is>
      </c>
      <c r="K550" s="9" t="inlineStr">
        <is>
          <t>正例</t>
        </is>
      </c>
      <c r="L550" s="8" t="inlineStr">
        <is>
          <t>1、已登录。
2、式子左边=右边：winning+losing+breakeven &lt;= total_hands</t>
        </is>
      </c>
      <c r="M550" s="8" t="inlineStr">
        <is>
          <t>1、上传素材，生成复盘报告，等到能打开。
2、检查该式子是否成立。</t>
        </is>
      </c>
      <c r="N550" s="8" t="inlineStr">
        <is>
          <t>等式成立</t>
        </is>
      </c>
      <c r="O550" s="8" t="inlineStr">
        <is>
          <t>winning+losing+breakeven &lt;= total_hands</t>
        </is>
      </c>
      <c r="P550" s="10" t="inlineStr">
        <is>
          <t>未执行</t>
        </is>
      </c>
      <c r="Q550" s="10" t="inlineStr"/>
      <c r="R550" s="11" t="inlineStr"/>
    </row>
    <row r="551" ht="72" customHeight="1">
      <c r="A551" s="5" t="inlineStr">
        <is>
          <t>TC-RPT-547</t>
        </is>
      </c>
      <c r="B551" s="5" t="inlineStr">
        <is>
          <t>key_hand_module_status</t>
        </is>
      </c>
      <c r="C551" s="5" t="inlineStr">
        <is>
          <t>关键手牌深度复盘</t>
        </is>
      </c>
      <c r="D551" s="13" t="inlineStr">
        <is>
          <t>P1</t>
        </is>
      </c>
      <c r="E551" s="7" t="inlineStr">
        <is>
          <t>判定表法</t>
        </is>
      </c>
      <c r="F551" s="7" t="inlineStr">
        <is>
          <t>模块可用性</t>
        </is>
      </c>
      <c r="G551" s="7" t="inlineStr">
        <is>
          <t>是</t>
        </is>
      </c>
      <c r="H551" s="8" t="inlineStr">
        <is>
          <t>关键手牌深度复盘 在 degraded 条件下 status 与内容一致</t>
        </is>
      </c>
      <c r="I551" s="8" t="inlineStr">
        <is>
          <t>05_模块可用性</t>
        </is>
      </c>
      <c r="J551" s="8" t="inlineStr">
        <is>
          <t>关键手牌深度复盘 在 degraded 条件下 status 与内容一致</t>
        </is>
      </c>
      <c r="K551" s="12" t="inlineStr">
        <is>
          <t>反例</t>
        </is>
      </c>
      <c r="L551" s="8" t="inlineStr">
        <is>
          <t>1、已登录。
2、只有 1～3 手完整，或缺非关键字段。。本场该模块状态应对=degraded</t>
        </is>
      </c>
      <c r="M551" s="8" t="inlineStr">
        <is>
          <t>1、上传素材，生成复盘报告，等到能打开。
2、打开「关键手牌深度复盘状态」，检查是否为degraded。</t>
        </is>
      </c>
      <c r="N551" s="8" t="inlineStr">
        <is>
          <t>关键手牌深度复盘状态=degraded</t>
        </is>
      </c>
      <c r="O551" s="8" t="inlineStr">
        <is>
          <t>key_hand_module_status</t>
        </is>
      </c>
      <c r="P551" s="10" t="inlineStr">
        <is>
          <t>未执行</t>
        </is>
      </c>
      <c r="Q551" s="10" t="inlineStr"/>
      <c r="R551" s="11" t="inlineStr"/>
    </row>
    <row r="552" ht="72" customHeight="1">
      <c r="A552" s="5" t="inlineStr">
        <is>
          <t>TC-RPT-548</t>
        </is>
      </c>
      <c r="B552" s="5" t="inlineStr">
        <is>
          <t>key_hand_module_status</t>
        </is>
      </c>
      <c r="C552" s="5" t="inlineStr">
        <is>
          <t>关键手牌深度复盘</t>
        </is>
      </c>
      <c r="D552" s="6" t="inlineStr">
        <is>
          <t>P0</t>
        </is>
      </c>
      <c r="E552" s="7" t="inlineStr">
        <is>
          <t>判定表法</t>
        </is>
      </c>
      <c r="F552" s="7" t="inlineStr">
        <is>
          <t>模块可用性</t>
        </is>
      </c>
      <c r="G552" s="7" t="inlineStr">
        <is>
          <t>是</t>
        </is>
      </c>
      <c r="H552" s="8" t="inlineStr">
        <is>
          <t>关键手牌深度复盘 在 normal 条件下 status 与内容一致</t>
        </is>
      </c>
      <c r="I552" s="8" t="inlineStr">
        <is>
          <t>05_模块可用性</t>
        </is>
      </c>
      <c r="J552" s="8" t="inlineStr">
        <is>
          <t>关键手牌深度复盘 在 normal 条件下 status 与内容一致</t>
        </is>
      </c>
      <c r="K552" s="9" t="inlineStr">
        <is>
          <t>正例</t>
        </is>
      </c>
      <c r="L552" s="8" t="inlineStr">
        <is>
          <t>1、已登录。
2、至少 4 手同时有行动链、GTO 参考、结算结果。。本场该模块状态应对=normal</t>
        </is>
      </c>
      <c r="M552" s="8" t="inlineStr">
        <is>
          <t>1、上传素材，生成复盘报告，等到能打开。
2、打开「关键手牌深度复盘状态」，检查是否为normal。</t>
        </is>
      </c>
      <c r="N552" s="8" t="inlineStr">
        <is>
          <t>关键手牌深度复盘状态=normal</t>
        </is>
      </c>
      <c r="O552" s="8" t="inlineStr">
        <is>
          <t>key_hand_module_status</t>
        </is>
      </c>
      <c r="P552" s="10" t="inlineStr">
        <is>
          <t>未执行</t>
        </is>
      </c>
      <c r="Q552" s="10" t="inlineStr"/>
      <c r="R552" s="11" t="inlineStr"/>
    </row>
    <row r="553" ht="72" customHeight="1">
      <c r="A553" s="5" t="inlineStr">
        <is>
          <t>TC-RPT-549</t>
        </is>
      </c>
      <c r="B553" s="5" t="inlineStr">
        <is>
          <t>key_hand_module_status</t>
        </is>
      </c>
      <c r="C553" s="5" t="inlineStr">
        <is>
          <t>关键手牌深度复盘</t>
        </is>
      </c>
      <c r="D553" s="6" t="inlineStr">
        <is>
          <t>P0</t>
        </is>
      </c>
      <c r="E553" s="7" t="inlineStr">
        <is>
          <t>判定表法</t>
        </is>
      </c>
      <c r="F553" s="7" t="inlineStr">
        <is>
          <t>模块可用性</t>
        </is>
      </c>
      <c r="G553" s="7" t="inlineStr">
        <is>
          <t>省略</t>
        </is>
      </c>
      <c r="H553" s="8" t="inlineStr">
        <is>
          <t>关键手牌深度复盘 在 omit 条件下 status 与内容一致</t>
        </is>
      </c>
      <c r="I553" s="8" t="inlineStr">
        <is>
          <t>05_模块可用性</t>
        </is>
      </c>
      <c r="J553" s="8" t="inlineStr">
        <is>
          <t>关键手牌深度复盘 在 omit 条件下 status 与内容一致</t>
        </is>
      </c>
      <c r="K553" s="12" t="inlineStr">
        <is>
          <t>反例</t>
        </is>
      </c>
      <c r="L553" s="8" t="inlineStr">
        <is>
          <t>1、已登录。
2、没有任何一手同时具备行动链和 GTO。。本场该模块状态应对=omit</t>
        </is>
      </c>
      <c r="M553" s="8" t="inlineStr">
        <is>
          <t>1、上传素材，生成复盘报告，等到能打开。
2、打开「关键手牌深度复盘状态」，检查是否为omit。</t>
        </is>
      </c>
      <c r="N553" s="8" t="inlineStr">
        <is>
          <t>关键手牌深度复盘状态=omit</t>
        </is>
      </c>
      <c r="O553" s="8" t="inlineStr">
        <is>
          <t>key_hand_module_status</t>
        </is>
      </c>
      <c r="P553" s="10" t="inlineStr">
        <is>
          <t>未执行</t>
        </is>
      </c>
      <c r="Q553" s="10" t="inlineStr"/>
      <c r="R553" s="11" t="inlineStr"/>
    </row>
    <row r="554" ht="72" customHeight="1">
      <c r="A554" s="5" t="inlineStr">
        <is>
          <t>TC-RPT-550</t>
        </is>
      </c>
      <c r="B554" s="5" t="inlineStr">
        <is>
          <t>opponent_position_module_status</t>
        </is>
      </c>
      <c r="C554" s="5" t="inlineStr">
        <is>
          <t>对手与位置表现分析</t>
        </is>
      </c>
      <c r="D554" s="13" t="inlineStr">
        <is>
          <t>P1</t>
        </is>
      </c>
      <c r="E554" s="7" t="inlineStr">
        <is>
          <t>判定表法</t>
        </is>
      </c>
      <c r="F554" s="7" t="inlineStr">
        <is>
          <t>模块可用性</t>
        </is>
      </c>
      <c r="G554" s="7" t="inlineStr">
        <is>
          <t>是</t>
        </is>
      </c>
      <c r="H554" s="8" t="inlineStr">
        <is>
          <t>对手与位置表现分析 在 degraded 条件下 status 与内容一致</t>
        </is>
      </c>
      <c r="I554" s="8" t="inlineStr">
        <is>
          <t>05_模块可用性</t>
        </is>
      </c>
      <c r="J554" s="8" t="inlineStr">
        <is>
          <t>对手与位置表现分析 在 degraded 条件下 status 与内容一致</t>
        </is>
      </c>
      <c r="K554" s="12" t="inlineStr">
        <is>
          <t>反例</t>
        </is>
      </c>
      <c r="L554" s="8" t="inlineStr">
        <is>
          <t>1、已登录。
2、只有对手或只有位置一类（例：位置齐但对手全是「未知」）。。本场该模块状态应对=degraded</t>
        </is>
      </c>
      <c r="M554" s="8" t="inlineStr">
        <is>
          <t>1、上传素材，生成复盘报告，等到能打开。
2、打开「对手与位置表现分析状态」，检查是否为degraded。</t>
        </is>
      </c>
      <c r="N554" s="8" t="inlineStr">
        <is>
          <t>对手与位置表现分析状态=degraded</t>
        </is>
      </c>
      <c r="O554" s="8" t="inlineStr">
        <is>
          <t>opponent_position_module_status</t>
        </is>
      </c>
      <c r="P554" s="10" t="inlineStr">
        <is>
          <t>未执行</t>
        </is>
      </c>
      <c r="Q554" s="10" t="inlineStr"/>
      <c r="R554" s="11" t="inlineStr"/>
    </row>
    <row r="555" ht="72" customHeight="1">
      <c r="A555" s="5" t="inlineStr">
        <is>
          <t>TC-RPT-551</t>
        </is>
      </c>
      <c r="B555" s="5" t="inlineStr">
        <is>
          <t>opponent_position_module_status</t>
        </is>
      </c>
      <c r="C555" s="5" t="inlineStr">
        <is>
          <t>对手与位置表现分析</t>
        </is>
      </c>
      <c r="D555" s="6" t="inlineStr">
        <is>
          <t>P0</t>
        </is>
      </c>
      <c r="E555" s="7" t="inlineStr">
        <is>
          <t>判定表法</t>
        </is>
      </c>
      <c r="F555" s="7" t="inlineStr">
        <is>
          <t>模块可用性</t>
        </is>
      </c>
      <c r="G555" s="7" t="inlineStr">
        <is>
          <t>是</t>
        </is>
      </c>
      <c r="H555" s="8" t="inlineStr">
        <is>
          <t>对手与位置表现分析 在 normal 条件下 status 与内容一致</t>
        </is>
      </c>
      <c r="I555" s="8" t="inlineStr">
        <is>
          <t>05_模块可用性</t>
        </is>
      </c>
      <c r="J555" s="8" t="inlineStr">
        <is>
          <t>对手与位置表现分析 在 normal 条件下 status 与内容一致</t>
        </is>
      </c>
      <c r="K555" s="9" t="inlineStr">
        <is>
          <t>正例</t>
        </is>
      </c>
      <c r="L555" s="8" t="inlineStr">
        <is>
          <t>1、已登录。
2、能识别至少 1 个对手的交手，且各位置手数充分。。本场该模块状态应对=normal</t>
        </is>
      </c>
      <c r="M555" s="8" t="inlineStr">
        <is>
          <t>1、上传素材，生成复盘报告，等到能打开。
2、打开「对手与位置表现分析状态」，检查是否为normal。</t>
        </is>
      </c>
      <c r="N555" s="8" t="inlineStr">
        <is>
          <t>对手与位置表现分析状态=normal</t>
        </is>
      </c>
      <c r="O555" s="8" t="inlineStr">
        <is>
          <t>opponent_position_module_status</t>
        </is>
      </c>
      <c r="P555" s="10" t="inlineStr">
        <is>
          <t>未执行</t>
        </is>
      </c>
      <c r="Q555" s="10" t="inlineStr"/>
      <c r="R555" s="11" t="inlineStr"/>
    </row>
    <row r="556" ht="72" customHeight="1">
      <c r="A556" s="5" t="inlineStr">
        <is>
          <t>TC-RPT-552</t>
        </is>
      </c>
      <c r="B556" s="5" t="inlineStr">
        <is>
          <t>opponent_position_module_status</t>
        </is>
      </c>
      <c r="C556" s="5" t="inlineStr">
        <is>
          <t>对手与位置表现分析</t>
        </is>
      </c>
      <c r="D556" s="6" t="inlineStr">
        <is>
          <t>P0</t>
        </is>
      </c>
      <c r="E556" s="7" t="inlineStr">
        <is>
          <t>判定表法</t>
        </is>
      </c>
      <c r="F556" s="7" t="inlineStr">
        <is>
          <t>模块可用性</t>
        </is>
      </c>
      <c r="G556" s="7" t="inlineStr">
        <is>
          <t>省略</t>
        </is>
      </c>
      <c r="H556" s="8" t="inlineStr">
        <is>
          <t>对手与位置表现分析 在 omit 条件下 status 与内容一致</t>
        </is>
      </c>
      <c r="I556" s="8" t="inlineStr">
        <is>
          <t>05_模块可用性</t>
        </is>
      </c>
      <c r="J556" s="8" t="inlineStr">
        <is>
          <t>对手与位置表现分析 在 omit 条件下 status 与内容一致</t>
        </is>
      </c>
      <c r="K556" s="12" t="inlineStr">
        <is>
          <t>反例</t>
        </is>
      </c>
      <c r="L556" s="8" t="inlineStr">
        <is>
          <t>1、已登录。
2、对手认不出、位置也认不出。。本场该模块状态应对=omit</t>
        </is>
      </c>
      <c r="M556" s="8" t="inlineStr">
        <is>
          <t>1、上传素材，生成复盘报告，等到能打开。
2、打开「对手与位置表现分析状态」，检查是否为omit。</t>
        </is>
      </c>
      <c r="N556" s="8" t="inlineStr">
        <is>
          <t>对手与位置表现分析状态=omit</t>
        </is>
      </c>
      <c r="O556" s="8" t="inlineStr">
        <is>
          <t>opponent_position_module_status</t>
        </is>
      </c>
      <c r="P556" s="10" t="inlineStr">
        <is>
          <t>未执行</t>
        </is>
      </c>
      <c r="Q556" s="10" t="inlineStr"/>
      <c r="R556" s="11" t="inlineStr"/>
    </row>
    <row r="557" ht="72" customHeight="1">
      <c r="A557" s="5" t="inlineStr">
        <is>
          <t>TC-RPT-553</t>
        </is>
      </c>
      <c r="B557" s="5" t="inlineStr">
        <is>
          <t>emotion_module_status</t>
        </is>
      </c>
      <c r="C557" s="5" t="inlineStr">
        <is>
          <t>情绪与心态波动节点</t>
        </is>
      </c>
      <c r="D557" s="13" t="inlineStr">
        <is>
          <t>P1</t>
        </is>
      </c>
      <c r="E557" s="7" t="inlineStr">
        <is>
          <t>判定表法</t>
        </is>
      </c>
      <c r="F557" s="7" t="inlineStr">
        <is>
          <t>模块可用性</t>
        </is>
      </c>
      <c r="G557" s="7" t="inlineStr">
        <is>
          <t>是</t>
        </is>
      </c>
      <c r="H557" s="8" t="inlineStr">
        <is>
          <t>情绪与心态波动节点 在 degraded 条件下 status 与内容一致</t>
        </is>
      </c>
      <c r="I557" s="8" t="inlineStr">
        <is>
          <t>05_模块可用性</t>
        </is>
      </c>
      <c r="J557" s="8" t="inlineStr">
        <is>
          <t>情绪与心态波动节点 在 degraded 条件下 status 与内容一致</t>
        </is>
      </c>
      <c r="K557" s="12" t="inlineStr">
        <is>
          <t>反例</t>
        </is>
      </c>
      <c r="L557" s="8" t="inlineStr">
        <is>
          <t>1、已登录。
2、只有轻微波动（例如只连赢 2 手），证据不全。。本场该模块状态应对=degraded</t>
        </is>
      </c>
      <c r="M557" s="8" t="inlineStr">
        <is>
          <t>1、上传素材，生成复盘报告，等到能打开。
2、打开「情绪与心态波动节点状态」，检查是否为degraded。</t>
        </is>
      </c>
      <c r="N557" s="8" t="inlineStr">
        <is>
          <t>情绪与心态波动节点状态=degraded</t>
        </is>
      </c>
      <c r="O557" s="8" t="inlineStr">
        <is>
          <t>emotion_module_status</t>
        </is>
      </c>
      <c r="P557" s="10" t="inlineStr">
        <is>
          <t>未执行</t>
        </is>
      </c>
      <c r="Q557" s="10" t="inlineStr"/>
      <c r="R557" s="11" t="inlineStr"/>
    </row>
    <row r="558" ht="72" customHeight="1">
      <c r="A558" s="5" t="inlineStr">
        <is>
          <t>TC-RPT-554</t>
        </is>
      </c>
      <c r="B558" s="5" t="inlineStr">
        <is>
          <t>emotion_module_status</t>
        </is>
      </c>
      <c r="C558" s="5" t="inlineStr">
        <is>
          <t>情绪与心态波动节点</t>
        </is>
      </c>
      <c r="D558" s="6" t="inlineStr">
        <is>
          <t>P0</t>
        </is>
      </c>
      <c r="E558" s="7" t="inlineStr">
        <is>
          <t>判定表法</t>
        </is>
      </c>
      <c r="F558" s="7" t="inlineStr">
        <is>
          <t>模块可用性</t>
        </is>
      </c>
      <c r="G558" s="7" t="inlineStr">
        <is>
          <t>是</t>
        </is>
      </c>
      <c r="H558" s="8" t="inlineStr">
        <is>
          <t>情绪与心态波动节点 在 normal 条件下 status 与内容一致</t>
        </is>
      </c>
      <c r="I558" s="8" t="inlineStr">
        <is>
          <t>05_模块可用性</t>
        </is>
      </c>
      <c r="J558" s="8" t="inlineStr">
        <is>
          <t>情绪与心态波动节点 在 normal 条件下 status 与内容一致</t>
        </is>
      </c>
      <c r="K558" s="9" t="inlineStr">
        <is>
          <t>正例</t>
        </is>
      </c>
      <c r="L558" s="8" t="inlineStr">
        <is>
          <t>1、已登录。
2、手数足够、有时间序、能看出连赢/连亏和入池变化，并能指出代表手。。本场该模块状态应对=normal</t>
        </is>
      </c>
      <c r="M558" s="8" t="inlineStr">
        <is>
          <t>1、上传素材，生成复盘报告，等到能打开。
2、打开「情绪与心态波动节点状态」，检查是否为normal。</t>
        </is>
      </c>
      <c r="N558" s="8" t="inlineStr">
        <is>
          <t>情绪与心态波动节点状态=normal</t>
        </is>
      </c>
      <c r="O558" s="8" t="inlineStr">
        <is>
          <t>emotion_module_status</t>
        </is>
      </c>
      <c r="P558" s="10" t="inlineStr">
        <is>
          <t>未执行</t>
        </is>
      </c>
      <c r="Q558" s="10" t="inlineStr"/>
      <c r="R558" s="11" t="inlineStr"/>
    </row>
    <row r="559" ht="72" customHeight="1">
      <c r="A559" s="5" t="inlineStr">
        <is>
          <t>TC-RPT-555</t>
        </is>
      </c>
      <c r="B559" s="5" t="inlineStr">
        <is>
          <t>emotion_module_status</t>
        </is>
      </c>
      <c r="C559" s="5" t="inlineStr">
        <is>
          <t>情绪与心态波动节点</t>
        </is>
      </c>
      <c r="D559" s="6" t="inlineStr">
        <is>
          <t>P0</t>
        </is>
      </c>
      <c r="E559" s="7" t="inlineStr">
        <is>
          <t>判定表法</t>
        </is>
      </c>
      <c r="F559" s="7" t="inlineStr">
        <is>
          <t>模块可用性</t>
        </is>
      </c>
      <c r="G559" s="7" t="inlineStr">
        <is>
          <t>省略</t>
        </is>
      </c>
      <c r="H559" s="8" t="inlineStr">
        <is>
          <t>情绪与心态波动节点 在 omit 条件下 status 与内容一致</t>
        </is>
      </c>
      <c r="I559" s="8" t="inlineStr">
        <is>
          <t>05_模块可用性</t>
        </is>
      </c>
      <c r="J559" s="8" t="inlineStr">
        <is>
          <t>情绪与心态波动节点 在 omit 条件下 status 与内容一致</t>
        </is>
      </c>
      <c r="K559" s="12" t="inlineStr">
        <is>
          <t>反例</t>
        </is>
      </c>
      <c r="L559" s="8" t="inlineStr">
        <is>
          <t>1、已登录。
2、3 手以内或没有时间顺序。。本场该模块状态应对=omit</t>
        </is>
      </c>
      <c r="M559" s="8" t="inlineStr">
        <is>
          <t>1、上传素材，生成复盘报告，等到能打开。
2、打开「情绪与心态波动节点状态」，检查是否为omit。</t>
        </is>
      </c>
      <c r="N559" s="8" t="inlineStr">
        <is>
          <t>情绪与心态波动节点状态=omit</t>
        </is>
      </c>
      <c r="O559" s="8" t="inlineStr">
        <is>
          <t>emotion_module_status</t>
        </is>
      </c>
      <c r="P559" s="10" t="inlineStr">
        <is>
          <t>未执行</t>
        </is>
      </c>
      <c r="Q559" s="10" t="inlineStr"/>
      <c r="R559" s="11" t="inlineStr"/>
    </row>
    <row r="560" ht="72" customHeight="1">
      <c r="A560" s="5" t="inlineStr">
        <is>
          <t>TC-RPT-556</t>
        </is>
      </c>
      <c r="B560" s="5" t="inlineStr">
        <is>
          <t>improvement_suggestion_status</t>
        </is>
      </c>
      <c r="C560" s="5" t="inlineStr">
        <is>
          <t>整体改进建议</t>
        </is>
      </c>
      <c r="D560" s="13" t="inlineStr">
        <is>
          <t>P1</t>
        </is>
      </c>
      <c r="E560" s="7" t="inlineStr">
        <is>
          <t>判定表法</t>
        </is>
      </c>
      <c r="F560" s="7" t="inlineStr">
        <is>
          <t>模块可用性</t>
        </is>
      </c>
      <c r="G560" s="7" t="inlineStr">
        <is>
          <t>是</t>
        </is>
      </c>
      <c r="H560" s="8" t="inlineStr">
        <is>
          <t>整体改进建议 在 degraded 条件下 status 与内容一致</t>
        </is>
      </c>
      <c r="I560" s="8" t="inlineStr">
        <is>
          <t>05_模块可用性</t>
        </is>
      </c>
      <c r="J560" s="8" t="inlineStr">
        <is>
          <t>整体改进建议 在 degraded 条件下 status 与内容一致</t>
        </is>
      </c>
      <c r="K560" s="12" t="inlineStr">
        <is>
          <t>反例</t>
        </is>
      </c>
      <c r="L560" s="8" t="inlineStr">
        <is>
          <t>1、已登录。
2、只有部分问题依据，仍能给一条建议。。本场该模块状态应对=degraded</t>
        </is>
      </c>
      <c r="M560" s="8" t="inlineStr">
        <is>
          <t>1、上传素材，生成复盘报告，等到能打开。
2、打开「整体改进建议状态」，检查是否为degraded。</t>
        </is>
      </c>
      <c r="N560" s="8" t="inlineStr">
        <is>
          <t>整体改进建议状态=degraded</t>
        </is>
      </c>
      <c r="O560" s="8" t="inlineStr">
        <is>
          <t>improvement_suggestion_status</t>
        </is>
      </c>
      <c r="P560" s="10" t="inlineStr">
        <is>
          <t>未执行</t>
        </is>
      </c>
      <c r="Q560" s="10" t="inlineStr"/>
      <c r="R560" s="11" t="inlineStr"/>
    </row>
    <row r="561" ht="72" customHeight="1">
      <c r="A561" s="5" t="inlineStr">
        <is>
          <t>TC-RPT-557</t>
        </is>
      </c>
      <c r="B561" s="5" t="inlineStr">
        <is>
          <t>improvement_suggestion_status</t>
        </is>
      </c>
      <c r="C561" s="5" t="inlineStr">
        <is>
          <t>整体改进建议</t>
        </is>
      </c>
      <c r="D561" s="6" t="inlineStr">
        <is>
          <t>P0</t>
        </is>
      </c>
      <c r="E561" s="7" t="inlineStr">
        <is>
          <t>判定表法</t>
        </is>
      </c>
      <c r="F561" s="7" t="inlineStr">
        <is>
          <t>模块可用性</t>
        </is>
      </c>
      <c r="G561" s="7" t="inlineStr">
        <is>
          <t>是</t>
        </is>
      </c>
      <c r="H561" s="8" t="inlineStr">
        <is>
          <t>整体改进建议 在 normal 条件下 status 与内容一致</t>
        </is>
      </c>
      <c r="I561" s="8" t="inlineStr">
        <is>
          <t>05_模块可用性</t>
        </is>
      </c>
      <c r="J561" s="8" t="inlineStr">
        <is>
          <t>整体改进建议 在 normal 条件下 status 与内容一致</t>
        </is>
      </c>
      <c r="K561" s="9" t="inlineStr">
        <is>
          <t>正例</t>
        </is>
      </c>
      <c r="L561" s="8" t="inlineStr">
        <is>
          <t>1、已登录。
2、有稳定优点、主要问题、可执行建议，且都能在本场数据上指到具体手/指标。。本场该模块状态应对=normal</t>
        </is>
      </c>
      <c r="M561" s="8" t="inlineStr">
        <is>
          <t>1、上传素材，生成复盘报告，等到能打开。
2、打开「整体改进建议状态」，检查是否为normal。</t>
        </is>
      </c>
      <c r="N561" s="8" t="inlineStr">
        <is>
          <t>整体改进建议状态=normal</t>
        </is>
      </c>
      <c r="O561" s="8" t="inlineStr">
        <is>
          <t>improvement_suggestion_status</t>
        </is>
      </c>
      <c r="P561" s="10" t="inlineStr">
        <is>
          <t>未执行</t>
        </is>
      </c>
      <c r="Q561" s="10" t="inlineStr"/>
      <c r="R561" s="11" t="inlineStr"/>
    </row>
    <row r="562" ht="72" customHeight="1">
      <c r="A562" s="5" t="inlineStr">
        <is>
          <t>TC-RPT-558</t>
        </is>
      </c>
      <c r="B562" s="5" t="inlineStr">
        <is>
          <t>improvement_suggestion_status</t>
        </is>
      </c>
      <c r="C562" s="5" t="inlineStr">
        <is>
          <t>整体改进建议</t>
        </is>
      </c>
      <c r="D562" s="6" t="inlineStr">
        <is>
          <t>P0</t>
        </is>
      </c>
      <c r="E562" s="7" t="inlineStr">
        <is>
          <t>判定表法</t>
        </is>
      </c>
      <c r="F562" s="7" t="inlineStr">
        <is>
          <t>模块可用性</t>
        </is>
      </c>
      <c r="G562" s="7" t="inlineStr">
        <is>
          <t>省略</t>
        </is>
      </c>
      <c r="H562" s="8" t="inlineStr">
        <is>
          <t>整体改进建议 在 omit 条件下 status 与内容一致</t>
        </is>
      </c>
      <c r="I562" s="8" t="inlineStr">
        <is>
          <t>05_模块可用性</t>
        </is>
      </c>
      <c r="J562" s="8" t="inlineStr">
        <is>
          <t>整体改进建议 在 omit 条件下 status 与内容一致</t>
        </is>
      </c>
      <c r="K562" s="12" t="inlineStr">
        <is>
          <t>反例</t>
        </is>
      </c>
      <c r="L562" s="8" t="inlineStr">
        <is>
          <t>1、已登录。
2、数据不足以形成任何有依据建议。。本场该模块状态应对=omit</t>
        </is>
      </c>
      <c r="M562" s="8" t="inlineStr">
        <is>
          <t>1、上传素材，生成复盘报告，等到能打开。
2、打开「整体改进建议状态」，检查是否为omit。</t>
        </is>
      </c>
      <c r="N562" s="8" t="inlineStr">
        <is>
          <t>整体改进建议状态=omit</t>
        </is>
      </c>
      <c r="O562" s="8" t="inlineStr">
        <is>
          <t>improvement_suggestion_status</t>
        </is>
      </c>
      <c r="P562" s="10" t="inlineStr">
        <is>
          <t>未执行</t>
        </is>
      </c>
      <c r="Q562" s="10" t="inlineStr"/>
      <c r="R562" s="11" t="inlineStr"/>
    </row>
    <row r="563" ht="72" customHeight="1">
      <c r="A563" s="5" t="inlineStr">
        <is>
          <t>TC-RPT-559</t>
        </is>
      </c>
      <c r="B563" s="5" t="inlineStr">
        <is>
          <t>smart_summary_status</t>
        </is>
      </c>
      <c r="C563" s="5" t="inlineStr">
        <is>
          <t>智能总结</t>
        </is>
      </c>
      <c r="D563" s="13" t="inlineStr">
        <is>
          <t>P1</t>
        </is>
      </c>
      <c r="E563" s="7" t="inlineStr">
        <is>
          <t>判定表法</t>
        </is>
      </c>
      <c r="F563" s="7" t="inlineStr">
        <is>
          <t>模块可用性</t>
        </is>
      </c>
      <c r="G563" s="7" t="inlineStr">
        <is>
          <t>是</t>
        </is>
      </c>
      <c r="H563" s="8" t="inlineStr">
        <is>
          <t>智能总结 在 degraded 条件下 status 与内容一致</t>
        </is>
      </c>
      <c r="I563" s="8" t="inlineStr">
        <is>
          <t>05_模块可用性</t>
        </is>
      </c>
      <c r="J563" s="8" t="inlineStr">
        <is>
          <t>智能总结 在 degraded 条件下 status 与内容一致</t>
        </is>
      </c>
      <c r="K563" s="12" t="inlineStr">
        <is>
          <t>反例</t>
        </is>
      </c>
      <c r="L563" s="8" t="inlineStr">
        <is>
          <t>1、已登录。
2、有总手数和盈亏，但 GTO 只有部分点能判断（缺一半推荐）。。本场该模块状态应对=degraded</t>
        </is>
      </c>
      <c r="M563" s="8" t="inlineStr">
        <is>
          <t>1、上传素材，生成复盘报告，等到能打开。
2、打开「智能总结状态」，检查是否为degraded。</t>
        </is>
      </c>
      <c r="N563" s="8" t="inlineStr">
        <is>
          <t>智能总结状态=degraded</t>
        </is>
      </c>
      <c r="O563" s="8" t="inlineStr">
        <is>
          <t>smart_summary_status</t>
        </is>
      </c>
      <c r="P563" s="10" t="inlineStr">
        <is>
          <t>未执行</t>
        </is>
      </c>
      <c r="Q563" s="10" t="inlineStr"/>
      <c r="R563" s="11" t="inlineStr"/>
    </row>
    <row r="564" ht="72" customHeight="1">
      <c r="A564" s="5" t="inlineStr">
        <is>
          <t>TC-RPT-560</t>
        </is>
      </c>
      <c r="B564" s="5" t="inlineStr">
        <is>
          <t>smart_summary_status</t>
        </is>
      </c>
      <c r="C564" s="5" t="inlineStr">
        <is>
          <t>智能总结</t>
        </is>
      </c>
      <c r="D564" s="6" t="inlineStr">
        <is>
          <t>P0</t>
        </is>
      </c>
      <c r="E564" s="7" t="inlineStr">
        <is>
          <t>判定表法</t>
        </is>
      </c>
      <c r="F564" s="7" t="inlineStr">
        <is>
          <t>模块可用性</t>
        </is>
      </c>
      <c r="G564" s="7" t="inlineStr">
        <is>
          <t>是</t>
        </is>
      </c>
      <c r="H564" s="8" t="inlineStr">
        <is>
          <t>智能总结 在 normal 条件下 status 与内容一致</t>
        </is>
      </c>
      <c r="I564" s="8" t="inlineStr">
        <is>
          <t>05_模块可用性</t>
        </is>
      </c>
      <c r="J564" s="8" t="inlineStr">
        <is>
          <t>智能总结 在 normal 条件下 status 与内容一致</t>
        </is>
      </c>
      <c r="K564" s="9" t="inlineStr">
        <is>
          <t>正例</t>
        </is>
      </c>
      <c r="L564" s="8" t="inlineStr">
        <is>
          <t>1、已登录。
2、一场同时有 Session 基础（总手数、参与）、整场盈亏、GTO 质量（可判断决策点）。。本场该模块状态应对=normal</t>
        </is>
      </c>
      <c r="M564" s="8" t="inlineStr">
        <is>
          <t>1、上传素材，生成复盘报告，等到能打开。
2、打开「智能总结状态」，检查是否为normal。</t>
        </is>
      </c>
      <c r="N564" s="8" t="inlineStr">
        <is>
          <t>智能总结状态=normal</t>
        </is>
      </c>
      <c r="O564" s="8" t="inlineStr">
        <is>
          <t>smart_summary_status</t>
        </is>
      </c>
      <c r="P564" s="10" t="inlineStr">
        <is>
          <t>未执行</t>
        </is>
      </c>
      <c r="Q564" s="10" t="inlineStr"/>
      <c r="R564" s="11" t="inlineStr"/>
    </row>
    <row r="565" ht="72" customHeight="1">
      <c r="A565" s="5" t="inlineStr">
        <is>
          <t>TC-RPT-561</t>
        </is>
      </c>
      <c r="B565" s="5" t="inlineStr">
        <is>
          <t>smart_summary_status</t>
        </is>
      </c>
      <c r="C565" s="5" t="inlineStr">
        <is>
          <t>智能总结</t>
        </is>
      </c>
      <c r="D565" s="6" t="inlineStr">
        <is>
          <t>P0</t>
        </is>
      </c>
      <c r="E565" s="7" t="inlineStr">
        <is>
          <t>判定表法</t>
        </is>
      </c>
      <c r="F565" s="7" t="inlineStr">
        <is>
          <t>模块可用性</t>
        </is>
      </c>
      <c r="G565" s="7" t="inlineStr">
        <is>
          <t>省略</t>
        </is>
      </c>
      <c r="H565" s="8" t="inlineStr">
        <is>
          <t>智能总结 在 omit 条件下 status 与内容一致</t>
        </is>
      </c>
      <c r="I565" s="8" t="inlineStr">
        <is>
          <t>05_模块可用性</t>
        </is>
      </c>
      <c r="J565" s="8" t="inlineStr">
        <is>
          <t>智能总结 在 omit 条件下 status 与内容一致</t>
        </is>
      </c>
      <c r="K565" s="12" t="inlineStr">
        <is>
          <t>反例</t>
        </is>
      </c>
      <c r="L565" s="8" t="inlineStr">
        <is>
          <t>1、已登录。
2、围观/无关视频，或完全切不出手数且没有任何 GTO。。本场该模块状态应对=omit</t>
        </is>
      </c>
      <c r="M565" s="8" t="inlineStr">
        <is>
          <t>1、上传素材，生成复盘报告，等到能打开。
2、打开「智能总结状态」，检查是否为omit。</t>
        </is>
      </c>
      <c r="N565" s="8" t="inlineStr">
        <is>
          <t>智能总结状态=omit</t>
        </is>
      </c>
      <c r="O565" s="8" t="inlineStr">
        <is>
          <t>smart_summary_status</t>
        </is>
      </c>
      <c r="P565" s="10" t="inlineStr">
        <is>
          <t>未执行</t>
        </is>
      </c>
      <c r="Q565" s="10" t="inlineStr"/>
      <c r="R565" s="11" t="inlineStr"/>
    </row>
    <row r="566" ht="72" customHeight="1">
      <c r="A566" s="5" t="inlineStr">
        <is>
          <t>TC-RPT-562</t>
        </is>
      </c>
      <c r="B566" s="5" t="inlineStr">
        <is>
          <t>pnl_ev_module_status</t>
        </is>
      </c>
      <c r="C566" s="5" t="inlineStr">
        <is>
          <t>盈亏与期望分析</t>
        </is>
      </c>
      <c r="D566" s="13" t="inlineStr">
        <is>
          <t>P1</t>
        </is>
      </c>
      <c r="E566" s="7" t="inlineStr">
        <is>
          <t>判定表法</t>
        </is>
      </c>
      <c r="F566" s="7" t="inlineStr">
        <is>
          <t>模块可用性</t>
        </is>
      </c>
      <c r="G566" s="7" t="inlineStr">
        <is>
          <t>是</t>
        </is>
      </c>
      <c r="H566" s="8" t="inlineStr">
        <is>
          <t>盈亏与期望分析 在 degraded 条件下 status 与内容一致</t>
        </is>
      </c>
      <c r="I566" s="8" t="inlineStr">
        <is>
          <t>05_模块可用性</t>
        </is>
      </c>
      <c r="J566" s="8" t="inlineStr">
        <is>
          <t>盈亏与期望分析 在 degraded 条件下 status 与内容一致</t>
        </is>
      </c>
      <c r="K566" s="12" t="inlineStr">
        <is>
          <t>反例</t>
        </is>
      </c>
      <c r="L566" s="8" t="inlineStr">
        <is>
          <t>1、已登录。
2、有实际盈亏，EV 大面积缺失。。本场该模块状态应对=degraded</t>
        </is>
      </c>
      <c r="M566" s="8" t="inlineStr">
        <is>
          <t>1、上传素材，生成复盘报告，等到能打开。
2、打开「盈亏与期望分析状态」，检查是否为degraded。</t>
        </is>
      </c>
      <c r="N566" s="8" t="inlineStr">
        <is>
          <t>盈亏与期望分析状态=degraded</t>
        </is>
      </c>
      <c r="O566" s="8" t="inlineStr">
        <is>
          <t>pnl_ev_module_status</t>
        </is>
      </c>
      <c r="P566" s="10" t="inlineStr">
        <is>
          <t>未执行</t>
        </is>
      </c>
      <c r="Q566" s="10" t="inlineStr"/>
      <c r="R566" s="11" t="inlineStr"/>
    </row>
    <row r="567" ht="72" customHeight="1">
      <c r="A567" s="5" t="inlineStr">
        <is>
          <t>TC-RPT-563</t>
        </is>
      </c>
      <c r="B567" s="5" t="inlineStr">
        <is>
          <t>pnl_ev_module_status</t>
        </is>
      </c>
      <c r="C567" s="5" t="inlineStr">
        <is>
          <t>盈亏与期望分析</t>
        </is>
      </c>
      <c r="D567" s="6" t="inlineStr">
        <is>
          <t>P0</t>
        </is>
      </c>
      <c r="E567" s="7" t="inlineStr">
        <is>
          <t>判定表法</t>
        </is>
      </c>
      <c r="F567" s="7" t="inlineStr">
        <is>
          <t>模块可用性</t>
        </is>
      </c>
      <c r="G567" s="7" t="inlineStr">
        <is>
          <t>是</t>
        </is>
      </c>
      <c r="H567" s="8" t="inlineStr">
        <is>
          <t>盈亏与期望分析 在 normal 条件下 status 与内容一致</t>
        </is>
      </c>
      <c r="I567" s="8" t="inlineStr">
        <is>
          <t>05_模块可用性</t>
        </is>
      </c>
      <c r="J567" s="8" t="inlineStr">
        <is>
          <t>盈亏与期望分析 在 normal 条件下 status 与内容一致</t>
        </is>
      </c>
      <c r="K567" s="9" t="inlineStr">
        <is>
          <t>正例</t>
        </is>
      </c>
      <c r="L567" s="8" t="inlineStr">
        <is>
          <t>1、已登录。
2、有实际每手盈亏、EV、关键牌盈亏、决策质量。。本场该模块状态应对=normal</t>
        </is>
      </c>
      <c r="M567" s="8" t="inlineStr">
        <is>
          <t>1、上传素材，生成复盘报告，等到能打开。
2、打开「盈亏与期望分析状态」，检查是否为normal。</t>
        </is>
      </c>
      <c r="N567" s="8" t="inlineStr">
        <is>
          <t>盈亏与期望分析状态=normal</t>
        </is>
      </c>
      <c r="O567" s="8" t="inlineStr">
        <is>
          <t>pnl_ev_module_status</t>
        </is>
      </c>
      <c r="P567" s="10" t="inlineStr">
        <is>
          <t>未执行</t>
        </is>
      </c>
      <c r="Q567" s="10" t="inlineStr"/>
      <c r="R567" s="11" t="inlineStr"/>
    </row>
    <row r="568" ht="72" customHeight="1">
      <c r="A568" s="5" t="inlineStr">
        <is>
          <t>TC-RPT-564</t>
        </is>
      </c>
      <c r="B568" s="5" t="inlineStr">
        <is>
          <t>pnl_ev_module_status</t>
        </is>
      </c>
      <c r="C568" s="5" t="inlineStr">
        <is>
          <t>盈亏与期望分析</t>
        </is>
      </c>
      <c r="D568" s="6" t="inlineStr">
        <is>
          <t>P0</t>
        </is>
      </c>
      <c r="E568" s="7" t="inlineStr">
        <is>
          <t>判定表法</t>
        </is>
      </c>
      <c r="F568" s="7" t="inlineStr">
        <is>
          <t>模块可用性</t>
        </is>
      </c>
      <c r="G568" s="7" t="inlineStr">
        <is>
          <t>省略</t>
        </is>
      </c>
      <c r="H568" s="8" t="inlineStr">
        <is>
          <t>盈亏与期望分析 在 omit 条件下 status 与内容一致</t>
        </is>
      </c>
      <c r="I568" s="8" t="inlineStr">
        <is>
          <t>05_模块可用性</t>
        </is>
      </c>
      <c r="J568" s="8" t="inlineStr">
        <is>
          <t>盈亏与期望分析 在 omit 条件下 status 与内容一致</t>
        </is>
      </c>
      <c r="K568" s="12" t="inlineStr">
        <is>
          <t>反例</t>
        </is>
      </c>
      <c r="L568" s="8" t="inlineStr">
        <is>
          <t>1、已登录。
2、没有任何可信盈亏（结算全打架）。。本场该模块状态应对=omit</t>
        </is>
      </c>
      <c r="M568" s="8" t="inlineStr">
        <is>
          <t>1、上传素材，生成复盘报告，等到能打开。
2、打开「盈亏与期望分析状态」，检查是否为omit。</t>
        </is>
      </c>
      <c r="N568" s="8" t="inlineStr">
        <is>
          <t>盈亏与期望分析状态=omit</t>
        </is>
      </c>
      <c r="O568" s="8" t="inlineStr">
        <is>
          <t>pnl_ev_module_status</t>
        </is>
      </c>
      <c r="P568" s="10" t="inlineStr">
        <is>
          <t>未执行</t>
        </is>
      </c>
      <c r="Q568" s="10" t="inlineStr"/>
      <c r="R568" s="11" t="inlineStr"/>
    </row>
    <row r="569" ht="72" customHeight="1">
      <c r="A569" s="5" t="inlineStr">
        <is>
          <t>TC-RPT-565</t>
        </is>
      </c>
      <c r="B569" s="5" t="inlineStr">
        <is>
          <t>hand_type_warning_status</t>
        </is>
      </c>
      <c r="C569" s="5" t="inlineStr">
        <is>
          <t>重点注意的牌局类型</t>
        </is>
      </c>
      <c r="D569" s="13" t="inlineStr">
        <is>
          <t>P1</t>
        </is>
      </c>
      <c r="E569" s="7" t="inlineStr">
        <is>
          <t>判定表法</t>
        </is>
      </c>
      <c r="F569" s="7" t="inlineStr">
        <is>
          <t>模块可用性</t>
        </is>
      </c>
      <c r="G569" s="7" t="inlineStr">
        <is>
          <t>是</t>
        </is>
      </c>
      <c r="H569" s="8" t="inlineStr">
        <is>
          <t>重点注意的牌局类型 在 degraded 条件下 status 与内容一致</t>
        </is>
      </c>
      <c r="I569" s="8" t="inlineStr">
        <is>
          <t>05_模块可用性</t>
        </is>
      </c>
      <c r="J569" s="8" t="inlineStr">
        <is>
          <t>重点注意的牌局类型 在 degraded 条件下 status 与内容一致</t>
        </is>
      </c>
      <c r="K569" s="12" t="inlineStr">
        <is>
          <t>反例</t>
        </is>
      </c>
      <c r="L569" s="8" t="inlineStr">
        <is>
          <t>1、已登录。
2、只能抽出 1～2 个。。本场该模块状态应对=degraded</t>
        </is>
      </c>
      <c r="M569" s="8" t="inlineStr">
        <is>
          <t>1、上传素材，生成复盘报告，等到能打开。
2、打开「重点注意的牌局类型状态」，检查是否为degraded。</t>
        </is>
      </c>
      <c r="N569" s="8" t="inlineStr">
        <is>
          <t>重点注意的牌局类型状态=degraded</t>
        </is>
      </c>
      <c r="O569" s="8" t="inlineStr">
        <is>
          <t>hand_type_warning_status</t>
        </is>
      </c>
      <c r="P569" s="10" t="inlineStr">
        <is>
          <t>未执行</t>
        </is>
      </c>
      <c r="Q569" s="10" t="inlineStr"/>
      <c r="R569" s="11" t="inlineStr"/>
    </row>
    <row r="570" ht="72" customHeight="1">
      <c r="A570" s="5" t="inlineStr">
        <is>
          <t>TC-RPT-566</t>
        </is>
      </c>
      <c r="B570" s="5" t="inlineStr">
        <is>
          <t>hand_type_warning_status</t>
        </is>
      </c>
      <c r="C570" s="5" t="inlineStr">
        <is>
          <t>重点注意的牌局类型</t>
        </is>
      </c>
      <c r="D570" s="6" t="inlineStr">
        <is>
          <t>P0</t>
        </is>
      </c>
      <c r="E570" s="7" t="inlineStr">
        <is>
          <t>判定表法</t>
        </is>
      </c>
      <c r="F570" s="7" t="inlineStr">
        <is>
          <t>模块可用性</t>
        </is>
      </c>
      <c r="G570" s="7" t="inlineStr">
        <is>
          <t>是</t>
        </is>
      </c>
      <c r="H570" s="8" t="inlineStr">
        <is>
          <t>重点注意的牌局类型 在 normal 条件下 status 与内容一致</t>
        </is>
      </c>
      <c r="I570" s="8" t="inlineStr">
        <is>
          <t>05_模块可用性</t>
        </is>
      </c>
      <c r="J570" s="8" t="inlineStr">
        <is>
          <t>重点注意的牌局类型 在 normal 条件下 status 与内容一致</t>
        </is>
      </c>
      <c r="K570" s="9" t="inlineStr">
        <is>
          <t>正例</t>
        </is>
      </c>
      <c r="L570" s="8" t="inlineStr">
        <is>
          <t>1、已登录。
2、能从本场抽出 3～5 个有依据的风险场景（弱顶对继续、连亏后边缘入池等）。。本场该模块状态应对=normal</t>
        </is>
      </c>
      <c r="M570" s="8" t="inlineStr">
        <is>
          <t>1、上传素材，生成复盘报告，等到能打开。
2、打开「重点注意的牌局类型状态」，检查是否为normal。</t>
        </is>
      </c>
      <c r="N570" s="8" t="inlineStr">
        <is>
          <t>重点注意的牌局类型状态=normal</t>
        </is>
      </c>
      <c r="O570" s="8" t="inlineStr">
        <is>
          <t>hand_type_warning_status</t>
        </is>
      </c>
      <c r="P570" s="10" t="inlineStr">
        <is>
          <t>未执行</t>
        </is>
      </c>
      <c r="Q570" s="10" t="inlineStr"/>
      <c r="R570" s="11" t="inlineStr"/>
    </row>
    <row r="571" ht="72" customHeight="1">
      <c r="A571" s="5" t="inlineStr">
        <is>
          <t>TC-RPT-567</t>
        </is>
      </c>
      <c r="B571" s="5" t="inlineStr">
        <is>
          <t>hand_type_warning_status</t>
        </is>
      </c>
      <c r="C571" s="5" t="inlineStr">
        <is>
          <t>重点注意的牌局类型</t>
        </is>
      </c>
      <c r="D571" s="6" t="inlineStr">
        <is>
          <t>P0</t>
        </is>
      </c>
      <c r="E571" s="7" t="inlineStr">
        <is>
          <t>判定表法</t>
        </is>
      </c>
      <c r="F571" s="7" t="inlineStr">
        <is>
          <t>模块可用性</t>
        </is>
      </c>
      <c r="G571" s="7" t="inlineStr">
        <is>
          <t>省略</t>
        </is>
      </c>
      <c r="H571" s="8" t="inlineStr">
        <is>
          <t>重点注意的牌局类型 在 omit 条件下 status 与内容一致</t>
        </is>
      </c>
      <c r="I571" s="8" t="inlineStr">
        <is>
          <t>05_模块可用性</t>
        </is>
      </c>
      <c r="J571" s="8" t="inlineStr">
        <is>
          <t>重点注意的牌局类型 在 omit 条件下 status 与内容一致</t>
        </is>
      </c>
      <c r="K571" s="12" t="inlineStr">
        <is>
          <t>反例</t>
        </is>
      </c>
      <c r="L571" s="8" t="inlineStr">
        <is>
          <t>1、已登录。
2、没有可归纳的牌局类型（手数太少或全是信息不足）。。本场该模块状态应对=omit</t>
        </is>
      </c>
      <c r="M571" s="8" t="inlineStr">
        <is>
          <t>1、上传素材，生成复盘报告，等到能打开。
2、打开「重点注意的牌局类型状态」，检查是否为omit。</t>
        </is>
      </c>
      <c r="N571" s="8" t="inlineStr">
        <is>
          <t>重点注意的牌局类型状态=omit</t>
        </is>
      </c>
      <c r="O571" s="8" t="inlineStr">
        <is>
          <t>hand_type_warning_status</t>
        </is>
      </c>
      <c r="P571" s="10" t="inlineStr">
        <is>
          <t>未执行</t>
        </is>
      </c>
      <c r="Q571" s="10" t="inlineStr"/>
      <c r="R571" s="11" t="inlineStr"/>
    </row>
  </sheetData>
  <autoFilter ref="A4:R571"/>
  <mergeCells count="3">
    <mergeCell ref="A3:R3"/>
    <mergeCell ref="A2:R2"/>
    <mergeCell ref="A1:R1"/>
  </mergeCells>
  <dataValidations count="1">
    <dataValidation sqref="P5:P571" showDropDown="0" showInputMessage="0" showErrorMessage="0" allowBlank="1" errorTitle="执行状态" error="请从下拉选择：未执行 / 通过 / 失败 / 阻塞 / 跳过" type="list">
      <formula1>"未执行,通过,失败,阻塞,跳过"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0"/>
  <sheetViews>
    <sheetView showGridLines="0" workbookViewId="0">
      <pane ySplit="4" topLeftCell="A5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28" customWidth="1" min="1" max="1"/>
    <col width="32" customWidth="1" min="2" max="2"/>
    <col width="14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0" customHeight="1">
      <c r="A1" s="1" t="inlineStr">
        <is>
          <t>各指标测试用例数量统计</t>
        </is>
      </c>
    </row>
    <row r="2" ht="40" customHeight="1">
      <c r="A2" s="2" t="inlineStr">
        <is>
          <t>基于「测试用例」表汇总。批次 BATCH-RPT-METRIC-001  v6.2</t>
        </is>
      </c>
    </row>
    <row r="3" ht="40" customHeight="1">
      <c r="A3" s="3" t="inlineStr">
        <is>
          <t>用例总数 567 条（正例 322，反例 245）。G列起为执行进度（联动测试用例表）。</t>
        </is>
      </c>
    </row>
    <row r="4" ht="28" customHeight="1">
      <c r="A4" s="4" t="inlineStr">
        <is>
          <t>指标编码</t>
        </is>
      </c>
      <c r="B4" s="4" t="inlineStr">
        <is>
          <t>中文名称</t>
        </is>
      </c>
      <c r="C4" s="4" t="inlineStr">
        <is>
          <t>数据层级</t>
        </is>
      </c>
      <c r="D4" s="4" t="inlineStr">
        <is>
          <t>优先级</t>
        </is>
      </c>
      <c r="E4" s="4" t="inlineStr">
        <is>
          <t>正例</t>
        </is>
      </c>
      <c r="F4" s="4" t="inlineStr">
        <is>
          <t>反例</t>
        </is>
      </c>
      <c r="G4" s="4" t="inlineStr">
        <is>
          <t>执行进度</t>
        </is>
      </c>
      <c r="H4" s="4" t="inlineStr">
        <is>
          <t>数量</t>
        </is>
      </c>
      <c r="I4" s="4" t="inlineStr">
        <is>
          <t>统计方法 / 口径（字典原文）</t>
        </is>
      </c>
      <c r="J4" s="4" t="inlineStr">
        <is>
          <t>测试用例标题</t>
        </is>
      </c>
      <c r="K4" s="4" t="inlineStr">
        <is>
          <t>正/反例</t>
        </is>
      </c>
      <c r="L4" s="4" t="inlineStr">
        <is>
          <t>前置条件</t>
        </is>
      </c>
      <c r="M4" s="4" t="inlineStr">
        <is>
          <t>测试步骤</t>
        </is>
      </c>
      <c r="N4" s="4" t="inlineStr">
        <is>
          <t>预期结果</t>
        </is>
      </c>
      <c r="O4" s="4" t="inlineStr">
        <is>
          <t>对应字段</t>
        </is>
      </c>
      <c r="P4" s="4" t="inlineStr">
        <is>
          <t>执行状态</t>
        </is>
      </c>
      <c r="Q4" s="4" t="inlineStr">
        <is>
          <t>时间</t>
        </is>
      </c>
      <c r="R4" s="4" t="inlineStr">
        <is>
          <t>备注</t>
        </is>
      </c>
    </row>
    <row r="5" ht="22" customHeight="1">
      <c r="A5" s="8" t="inlineStr">
        <is>
          <t>video_duration</t>
        </is>
      </c>
      <c r="B5" s="8" t="inlineStr">
        <is>
          <t>视频时长</t>
        </is>
      </c>
      <c r="C5" s="8" t="inlineStr">
        <is>
          <t>Session基础</t>
        </is>
      </c>
      <c r="D5" s="6" t="inlineStr">
        <is>
          <t>P0</t>
        </is>
      </c>
      <c r="E5" s="7" t="n">
        <v>3</v>
      </c>
      <c r="F5" s="7" t="n">
        <v>1</v>
      </c>
      <c r="G5" s="7" t="inlineStr">
        <is>
          <t>未执行</t>
        </is>
      </c>
      <c r="H5" s="7">
        <f>COUNTIF('测试用例'!$P$5:$P$571,"未执行")+COUNTBLANK('测试用例'!$P$5:$P$571)</f>
        <v/>
      </c>
    </row>
    <row r="6" ht="22" customHeight="1">
      <c r="A6" s="8" t="inlineStr">
        <is>
          <t>total_hands</t>
        </is>
      </c>
      <c r="B6" s="8" t="inlineStr">
        <is>
          <t>总手数</t>
        </is>
      </c>
      <c r="C6" s="8" t="inlineStr">
        <is>
          <t>Session基础</t>
        </is>
      </c>
      <c r="D6" s="6" t="inlineStr">
        <is>
          <t>P0</t>
        </is>
      </c>
      <c r="E6" s="7" t="n">
        <v>5</v>
      </c>
      <c r="F6" s="7" t="n">
        <v>5</v>
      </c>
      <c r="G6" s="7" t="inlineStr">
        <is>
          <t>通过</t>
        </is>
      </c>
      <c r="H6" s="7">
        <f>COUNTIF('测试用例'!$P$5:$P$571,"通过")</f>
        <v/>
      </c>
    </row>
    <row r="7" ht="22" customHeight="1">
      <c r="A7" s="8" t="inlineStr">
        <is>
          <t>hands_played</t>
        </is>
      </c>
      <c r="B7" s="8" t="inlineStr">
        <is>
          <t>参与手数</t>
        </is>
      </c>
      <c r="C7" s="8" t="inlineStr">
        <is>
          <t>Session基础</t>
        </is>
      </c>
      <c r="D7" s="6" t="inlineStr">
        <is>
          <t>P0</t>
        </is>
      </c>
      <c r="E7" s="7" t="n">
        <v>14</v>
      </c>
      <c r="F7" s="7" t="n">
        <v>5</v>
      </c>
      <c r="G7" s="7" t="inlineStr">
        <is>
          <t>失败</t>
        </is>
      </c>
      <c r="H7" s="7">
        <f>COUNTIF('测试用例'!$P$5:$P$571,"失败")</f>
        <v/>
      </c>
    </row>
    <row r="8" ht="22" customHeight="1">
      <c r="A8" s="8" t="inlineStr">
        <is>
          <t>folded_preflop_hands</t>
        </is>
      </c>
      <c r="B8" s="8" t="inlineStr">
        <is>
          <t>翻前弃牌手数</t>
        </is>
      </c>
      <c r="C8" s="8" t="inlineStr">
        <is>
          <t>Session基础</t>
        </is>
      </c>
      <c r="D8" s="6" t="inlineStr">
        <is>
          <t>P0</t>
        </is>
      </c>
      <c r="E8" s="7" t="n">
        <v>5</v>
      </c>
      <c r="F8" s="7" t="n">
        <v>7</v>
      </c>
      <c r="G8" s="7" t="inlineStr">
        <is>
          <t>阻塞</t>
        </is>
      </c>
      <c r="H8" s="7">
        <f>COUNTIF('测试用例'!$P$5:$P$571,"阻塞")</f>
        <v/>
      </c>
    </row>
    <row r="9" ht="22" customHeight="1">
      <c r="A9" s="8" t="inlineStr">
        <is>
          <t>postflop_hands</t>
        </is>
      </c>
      <c r="B9" s="8" t="inlineStr">
        <is>
          <t>进入翻后手数</t>
        </is>
      </c>
      <c r="C9" s="8" t="inlineStr">
        <is>
          <t>Session基础</t>
        </is>
      </c>
      <c r="D9" s="6" t="inlineStr">
        <is>
          <t>P0</t>
        </is>
      </c>
      <c r="E9" s="7" t="n">
        <v>3</v>
      </c>
      <c r="F9" s="7" t="n">
        <v>3</v>
      </c>
      <c r="G9" s="7" t="inlineStr">
        <is>
          <t>跳过</t>
        </is>
      </c>
      <c r="H9" s="7">
        <f>COUNTIF('测试用例'!$P$5:$P$571,"跳过")</f>
        <v/>
      </c>
    </row>
    <row r="10" ht="22" customHeight="1">
      <c r="A10" s="8" t="inlineStr">
        <is>
          <t>showdown_hands</t>
        </is>
      </c>
      <c r="B10" s="8" t="inlineStr">
        <is>
          <t>摊牌手数</t>
        </is>
      </c>
      <c r="C10" s="8" t="inlineStr">
        <is>
          <t>Session基础</t>
        </is>
      </c>
      <c r="D10" s="6" t="inlineStr">
        <is>
          <t>P0</t>
        </is>
      </c>
      <c r="E10" s="7" t="n">
        <v>5</v>
      </c>
      <c r="F10" s="7" t="n">
        <v>5</v>
      </c>
      <c r="G10" s="7" t="inlineStr">
        <is>
          <t>合计</t>
        </is>
      </c>
      <c r="H10" s="7">
        <f>COUNTA('测试用例'!$A$5:$A$571)</f>
        <v/>
      </c>
    </row>
    <row r="11" ht="22" customHeight="1">
      <c r="A11" s="8" t="inlineStr">
        <is>
          <t>participation_rate</t>
        </is>
      </c>
      <c r="B11" s="8" t="inlineStr">
        <is>
          <t>参与率</t>
        </is>
      </c>
      <c r="C11" s="8" t="inlineStr">
        <is>
          <t>Session基础</t>
        </is>
      </c>
      <c r="D11" s="13" t="inlineStr">
        <is>
          <t>P1</t>
        </is>
      </c>
      <c r="E11" s="7" t="n">
        <v>4</v>
      </c>
      <c r="F11" s="7" t="n">
        <v>2</v>
      </c>
      <c r="G11" s="15" t="inlineStr">
        <is>
          <t>完成率</t>
        </is>
      </c>
      <c r="H11" s="16">
        <f>IF(H10=0,0,(H10-H5)/H10)</f>
        <v/>
      </c>
    </row>
    <row r="12" ht="22" customHeight="1">
      <c r="A12" s="8" t="inlineStr">
        <is>
          <t>preflop_fold_rate</t>
        </is>
      </c>
      <c r="B12" s="8" t="inlineStr">
        <is>
          <t>翻前弃牌率</t>
        </is>
      </c>
      <c r="C12" s="8" t="inlineStr">
        <is>
          <t>Session基础</t>
        </is>
      </c>
      <c r="D12" s="13" t="inlineStr">
        <is>
          <t>P1</t>
        </is>
      </c>
      <c r="E12" s="7" t="n">
        <v>3</v>
      </c>
      <c r="F12" s="7" t="n">
        <v>6</v>
      </c>
      <c r="G12" s="7" t="n">
        <v>9</v>
      </c>
    </row>
    <row r="13" ht="22" customHeight="1">
      <c r="A13" s="8" t="inlineStr">
        <is>
          <t>postflop_entry_rate</t>
        </is>
      </c>
      <c r="B13" s="8" t="inlineStr">
        <is>
          <t>翻后进入率</t>
        </is>
      </c>
      <c r="C13" s="8" t="inlineStr">
        <is>
          <t>Session基础</t>
        </is>
      </c>
      <c r="D13" s="13" t="inlineStr">
        <is>
          <t>P1</t>
        </is>
      </c>
      <c r="E13" s="7" t="n">
        <v>3</v>
      </c>
      <c r="F13" s="7" t="n">
        <v>3</v>
      </c>
      <c r="G13" s="4" t="inlineStr">
        <is>
          <t>数据层级</t>
        </is>
      </c>
      <c r="H13" s="17" t="inlineStr">
        <is>
          <t>用例数</t>
        </is>
      </c>
    </row>
    <row r="14" ht="22" customHeight="1">
      <c r="A14" s="8" t="inlineStr">
        <is>
          <t>showdown_rate</t>
        </is>
      </c>
      <c r="B14" s="8" t="inlineStr">
        <is>
          <t>摊牌率</t>
        </is>
      </c>
      <c r="C14" s="8" t="inlineStr">
        <is>
          <t>Session基础</t>
        </is>
      </c>
      <c r="D14" s="13" t="inlineStr">
        <is>
          <t>P1</t>
        </is>
      </c>
      <c r="E14" s="7" t="n">
        <v>3</v>
      </c>
      <c r="F14" s="7" t="n">
        <v>2</v>
      </c>
      <c r="G14" s="7" t="inlineStr">
        <is>
          <t>打法画像</t>
        </is>
      </c>
      <c r="H14" s="7" t="n">
        <v>113</v>
      </c>
    </row>
    <row r="15" ht="22" customHeight="1">
      <c r="A15" s="8" t="inlineStr">
        <is>
          <t>total_profit_chips</t>
        </is>
      </c>
      <c r="B15" s="8" t="inlineStr">
        <is>
          <t>本场总盈亏（筹码）</t>
        </is>
      </c>
      <c r="C15" s="8" t="inlineStr">
        <is>
          <t>盈亏EV</t>
        </is>
      </c>
      <c r="D15" s="6" t="inlineStr">
        <is>
          <t>P0</t>
        </is>
      </c>
      <c r="E15" s="7" t="n">
        <v>3</v>
      </c>
      <c r="F15" s="7" t="n">
        <v>2</v>
      </c>
      <c r="G15" s="7" t="inlineStr">
        <is>
          <t>Session基础</t>
        </is>
      </c>
      <c r="H15" s="7" t="n">
        <v>88</v>
      </c>
    </row>
    <row r="16" ht="22" customHeight="1">
      <c r="A16" s="8" t="inlineStr">
        <is>
          <t>total_profit_bb</t>
        </is>
      </c>
      <c r="B16" s="8" t="inlineStr">
        <is>
          <t>本场总盈亏（BB）</t>
        </is>
      </c>
      <c r="C16" s="8" t="inlineStr">
        <is>
          <t>盈亏EV</t>
        </is>
      </c>
      <c r="D16" s="6" t="inlineStr">
        <is>
          <t>P0</t>
        </is>
      </c>
      <c r="E16" s="7" t="n">
        <v>2</v>
      </c>
      <c r="F16" s="7" t="n">
        <v>0</v>
      </c>
      <c r="G16" s="7" t="inlineStr">
        <is>
          <t>单手牌</t>
        </is>
      </c>
      <c r="H16" s="7" t="n">
        <v>68</v>
      </c>
    </row>
    <row r="17" ht="22" customHeight="1">
      <c r="A17" s="8" t="inlineStr">
        <is>
          <t>hand_profit_chips</t>
        </is>
      </c>
      <c r="B17" s="8" t="inlineStr">
        <is>
          <t>单手盈亏（筹码）</t>
        </is>
      </c>
      <c r="C17" s="8" t="inlineStr">
        <is>
          <t>盈亏EV</t>
        </is>
      </c>
      <c r="D17" s="6" t="inlineStr">
        <is>
          <t>P0</t>
        </is>
      </c>
      <c r="E17" s="7" t="n">
        <v>4</v>
      </c>
      <c r="F17" s="7" t="n">
        <v>2</v>
      </c>
      <c r="G17" s="7" t="inlineStr">
        <is>
          <t>盈亏EV</t>
        </is>
      </c>
      <c r="H17" s="7" t="n">
        <v>58</v>
      </c>
    </row>
    <row r="18" ht="22" customHeight="1">
      <c r="A18" s="8" t="inlineStr">
        <is>
          <t>hand_profit_bb</t>
        </is>
      </c>
      <c r="B18" s="8" t="inlineStr">
        <is>
          <t>单手盈亏（BB）</t>
        </is>
      </c>
      <c r="C18" s="8" t="inlineStr">
        <is>
          <t>盈亏EV</t>
        </is>
      </c>
      <c r="D18" s="6" t="inlineStr">
        <is>
          <t>P0</t>
        </is>
      </c>
      <c r="E18" s="7" t="n">
        <v>2</v>
      </c>
      <c r="F18" s="7" t="n">
        <v>0</v>
      </c>
      <c r="G18" s="7" t="inlineStr">
        <is>
          <t>对手数据</t>
        </is>
      </c>
      <c r="H18" s="7" t="n">
        <v>49</v>
      </c>
    </row>
    <row r="19" ht="22" customHeight="1">
      <c r="A19" s="8" t="inlineStr">
        <is>
          <t>winning_hands_count</t>
        </is>
      </c>
      <c r="B19" s="8" t="inlineStr">
        <is>
          <t>盈利手数</t>
        </is>
      </c>
      <c r="C19" s="8" t="inlineStr">
        <is>
          <t>盈亏EV</t>
        </is>
      </c>
      <c r="D19" s="13" t="inlineStr">
        <is>
          <t>P1</t>
        </is>
      </c>
      <c r="E19" s="7" t="n">
        <v>3</v>
      </c>
      <c r="F19" s="7" t="n">
        <v>1</v>
      </c>
      <c r="G19" s="7" t="inlineStr">
        <is>
          <t>GTO决策</t>
        </is>
      </c>
      <c r="H19" s="7" t="n">
        <v>45</v>
      </c>
    </row>
    <row r="20" ht="22" customHeight="1">
      <c r="A20" s="8" t="inlineStr">
        <is>
          <t>losing_hands_count</t>
        </is>
      </c>
      <c r="B20" s="8" t="inlineStr">
        <is>
          <t>亏损手数</t>
        </is>
      </c>
      <c r="C20" s="8" t="inlineStr">
        <is>
          <t>盈亏EV</t>
        </is>
      </c>
      <c r="D20" s="13" t="inlineStr">
        <is>
          <t>P1</t>
        </is>
      </c>
      <c r="E20" s="7" t="n">
        <v>3</v>
      </c>
      <c r="F20" s="7" t="n">
        <v>1</v>
      </c>
      <c r="G20" s="7" t="inlineStr">
        <is>
          <t>心态波动</t>
        </is>
      </c>
      <c r="H20" s="7" t="n">
        <v>42</v>
      </c>
    </row>
    <row r="21" ht="22" customHeight="1">
      <c r="A21" s="8" t="inlineStr">
        <is>
          <t>breakeven_hands_count</t>
        </is>
      </c>
      <c r="B21" s="8" t="inlineStr">
        <is>
          <t>打平手数</t>
        </is>
      </c>
      <c r="C21" s="8" t="inlineStr">
        <is>
          <t>盈亏EV</t>
        </is>
      </c>
      <c r="D21" s="7" t="inlineStr">
        <is>
          <t>P2</t>
        </is>
      </c>
      <c r="E21" s="7" t="n">
        <v>3</v>
      </c>
      <c r="F21" s="7" t="n">
        <v>1</v>
      </c>
      <c r="G21" s="7" t="inlineStr">
        <is>
          <t>位置数据</t>
        </is>
      </c>
      <c r="H21" s="7" t="n">
        <v>25</v>
      </c>
    </row>
    <row r="22" ht="22" customHeight="1">
      <c r="A22" s="8" t="inlineStr">
        <is>
          <t>top_profit_hands</t>
        </is>
      </c>
      <c r="B22" s="8" t="inlineStr">
        <is>
          <t>盈利较大手牌列表</t>
        </is>
      </c>
      <c r="C22" s="8" t="inlineStr">
        <is>
          <t>盈亏EV</t>
        </is>
      </c>
      <c r="D22" s="13" t="inlineStr">
        <is>
          <t>P1</t>
        </is>
      </c>
      <c r="E22" s="7" t="n">
        <v>1</v>
      </c>
      <c r="F22" s="7" t="n">
        <v>2</v>
      </c>
      <c r="G22" s="7" t="inlineStr">
        <is>
          <t>场次列表</t>
        </is>
      </c>
      <c r="H22" s="7" t="n">
        <v>21</v>
      </c>
    </row>
    <row r="23" ht="22" customHeight="1">
      <c r="A23" s="8" t="inlineStr">
        <is>
          <t>top_loss_hands</t>
        </is>
      </c>
      <c r="B23" s="8" t="inlineStr">
        <is>
          <t>损失较大手牌列表</t>
        </is>
      </c>
      <c r="C23" s="8" t="inlineStr">
        <is>
          <t>盈亏EV</t>
        </is>
      </c>
      <c r="D23" s="13" t="inlineStr">
        <is>
          <t>P1</t>
        </is>
      </c>
      <c r="E23" s="7" t="n">
        <v>1</v>
      </c>
      <c r="F23" s="7" t="n">
        <v>2</v>
      </c>
      <c r="G23" s="7" t="inlineStr">
        <is>
          <t>模块可用性</t>
        </is>
      </c>
      <c r="H23" s="7" t="n">
        <v>21</v>
      </c>
    </row>
    <row r="24" ht="22" customHeight="1">
      <c r="A24" s="8" t="inlineStr">
        <is>
          <t>profit_concentration_ratio</t>
        </is>
      </c>
      <c r="B24" s="8" t="inlineStr">
        <is>
          <t>盈亏集中度</t>
        </is>
      </c>
      <c r="C24" s="8" t="inlineStr">
        <is>
          <t>盈亏EV</t>
        </is>
      </c>
      <c r="D24" s="7" t="inlineStr">
        <is>
          <t>P2</t>
        </is>
      </c>
      <c r="E24" s="7" t="n">
        <v>1</v>
      </c>
      <c r="F24" s="7" t="n">
        <v>2</v>
      </c>
      <c r="G24" s="7" t="inlineStr">
        <is>
          <t>账户计费</t>
        </is>
      </c>
      <c r="H24" s="7" t="n">
        <v>18</v>
      </c>
    </row>
    <row r="25" ht="22" customHeight="1">
      <c r="A25" s="8" t="inlineStr">
        <is>
          <t>total_ev</t>
        </is>
      </c>
      <c r="B25" s="8" t="inlineStr">
        <is>
          <t>本场总期望值</t>
        </is>
      </c>
      <c r="C25" s="8" t="inlineStr">
        <is>
          <t>盈亏EV</t>
        </is>
      </c>
      <c r="D25" s="13" t="inlineStr">
        <is>
          <t>P1</t>
        </is>
      </c>
      <c r="E25" s="7" t="n">
        <v>2</v>
      </c>
      <c r="F25" s="7" t="n">
        <v>1</v>
      </c>
      <c r="G25" s="7" t="inlineStr">
        <is>
          <t>整包</t>
        </is>
      </c>
      <c r="H25" s="7" t="n">
        <v>11</v>
      </c>
    </row>
    <row r="26" ht="22" customHeight="1">
      <c r="A26" s="8" t="inlineStr">
        <is>
          <t>per_hand_ev</t>
        </is>
      </c>
      <c r="B26" s="8" t="inlineStr">
        <is>
          <t>单手期望值</t>
        </is>
      </c>
      <c r="C26" s="8" t="inlineStr">
        <is>
          <t>盈亏EV</t>
        </is>
      </c>
      <c r="D26" s="13" t="inlineStr">
        <is>
          <t>P1</t>
        </is>
      </c>
      <c r="E26" s="7" t="n">
        <v>2</v>
      </c>
      <c r="F26" s="7" t="n">
        <v>1</v>
      </c>
      <c r="G26" s="7" t="inlineStr">
        <is>
          <t>产品交互</t>
        </is>
      </c>
      <c r="H26" s="7" t="n">
        <v>8</v>
      </c>
    </row>
    <row r="27" ht="22" customHeight="1">
      <c r="A27" s="8" t="inlineStr">
        <is>
          <t>actual_vs_ev_gap</t>
        </is>
      </c>
      <c r="B27" s="8" t="inlineStr">
        <is>
          <t>实际盈亏与期望差值</t>
        </is>
      </c>
      <c r="C27" s="8" t="inlineStr">
        <is>
          <t>盈亏EV</t>
        </is>
      </c>
      <c r="D27" s="13" t="inlineStr">
        <is>
          <t>P1</t>
        </is>
      </c>
      <c r="E27" s="7" t="n">
        <v>2</v>
      </c>
      <c r="F27" s="7" t="n">
        <v>1</v>
      </c>
      <c r="G27" s="7" t="n">
        <v>3</v>
      </c>
    </row>
    <row r="28" ht="22" customHeight="1">
      <c r="A28" s="8" t="inlineStr">
        <is>
          <t>ev_relation_type</t>
        </is>
      </c>
      <c r="B28" s="8" t="inlineStr">
        <is>
          <t>实际结果与期望关系</t>
        </is>
      </c>
      <c r="C28" s="8" t="inlineStr">
        <is>
          <t>盈亏EV</t>
        </is>
      </c>
      <c r="D28" s="13" t="inlineStr">
        <is>
          <t>P1</t>
        </is>
      </c>
      <c r="E28" s="7" t="n">
        <v>1</v>
      </c>
      <c r="F28" s="7" t="n">
        <v>1</v>
      </c>
      <c r="G28" s="7" t="n">
        <v>2</v>
      </c>
    </row>
    <row r="29" ht="22" customHeight="1">
      <c r="A29" s="8" t="inlineStr">
        <is>
          <t>luck_direction</t>
        </is>
      </c>
      <c r="B29" s="8" t="inlineStr">
        <is>
          <t>运气影响方向</t>
        </is>
      </c>
      <c r="C29" s="8" t="inlineStr">
        <is>
          <t>盈亏EV</t>
        </is>
      </c>
      <c r="D29" s="13" t="inlineStr">
        <is>
          <t>P1</t>
        </is>
      </c>
      <c r="E29" s="7" t="n">
        <v>1</v>
      </c>
      <c r="F29" s="7" t="n">
        <v>1</v>
      </c>
      <c r="G29" s="7" t="n">
        <v>2</v>
      </c>
    </row>
    <row r="30" ht="22" customHeight="1">
      <c r="A30" s="8" t="inlineStr">
        <is>
          <t>decision_impact_direction</t>
        </is>
      </c>
      <c r="B30" s="8" t="inlineStr">
        <is>
          <t>决策影响方向（AI标签）</t>
        </is>
      </c>
      <c r="C30" s="8" t="inlineStr">
        <is>
          <t>盈亏EV</t>
        </is>
      </c>
      <c r="D30" s="13" t="inlineStr">
        <is>
          <t>P1</t>
        </is>
      </c>
      <c r="E30" s="7" t="n">
        <v>1</v>
      </c>
      <c r="F30" s="7" t="n">
        <v>1</v>
      </c>
      <c r="G30" s="7" t="n">
        <v>2</v>
      </c>
    </row>
    <row r="31" ht="22" customHeight="1">
      <c r="A31" s="8" t="inlineStr">
        <is>
          <t>good_decision_bad_result_hands</t>
        </is>
      </c>
      <c r="B31" s="8" t="inlineStr">
        <is>
          <t>打对但输钱的牌</t>
        </is>
      </c>
      <c r="C31" s="8" t="inlineStr">
        <is>
          <t>盈亏EV</t>
        </is>
      </c>
      <c r="D31" s="7" t="inlineStr">
        <is>
          <t>P2</t>
        </is>
      </c>
      <c r="E31" s="7" t="n">
        <v>1</v>
      </c>
      <c r="F31" s="7" t="n">
        <v>2</v>
      </c>
      <c r="G31" s="7" t="n">
        <v>3</v>
      </c>
    </row>
    <row r="32" ht="22" customHeight="1">
      <c r="A32" s="8" t="inlineStr">
        <is>
          <t>bad_process_good_result_hands</t>
        </is>
      </c>
      <c r="B32" s="8" t="inlineStr">
        <is>
          <t>结果盈利但过程有风险的牌</t>
        </is>
      </c>
      <c r="C32" s="8" t="inlineStr">
        <is>
          <t>盈亏EV</t>
        </is>
      </c>
      <c r="D32" s="7" t="inlineStr">
        <is>
          <t>P2</t>
        </is>
      </c>
      <c r="E32" s="7" t="n">
        <v>1</v>
      </c>
      <c r="F32" s="7" t="n">
        <v>2</v>
      </c>
      <c r="G32" s="7" t="n">
        <v>3</v>
      </c>
    </row>
    <row r="33" ht="22" customHeight="1">
      <c r="A33" s="8" t="inlineStr">
        <is>
          <t>total_decision_points</t>
        </is>
      </c>
      <c r="B33" s="8" t="inlineStr">
        <is>
          <t>Hero 总决策次数</t>
        </is>
      </c>
      <c r="C33" s="8" t="inlineStr">
        <is>
          <t>GTO决策</t>
        </is>
      </c>
      <c r="D33" s="6" t="inlineStr">
        <is>
          <t>P0</t>
        </is>
      </c>
      <c r="E33" s="7" t="n">
        <v>2</v>
      </c>
      <c r="F33" s="7" t="n">
        <v>3</v>
      </c>
      <c r="G33" s="7" t="n">
        <v>5</v>
      </c>
    </row>
    <row r="34" ht="22" customHeight="1">
      <c r="A34" s="8" t="inlineStr">
        <is>
          <t>judgeable_decision_points</t>
        </is>
      </c>
      <c r="B34" s="8" t="inlineStr">
        <is>
          <t>可判断决策次数</t>
        </is>
      </c>
      <c r="C34" s="8" t="inlineStr">
        <is>
          <t>GTO决策</t>
        </is>
      </c>
      <c r="D34" s="6" t="inlineStr">
        <is>
          <t>P0</t>
        </is>
      </c>
      <c r="E34" s="7" t="n">
        <v>1</v>
      </c>
      <c r="F34" s="7" t="n">
        <v>1</v>
      </c>
      <c r="G34" s="7" t="n">
        <v>2</v>
      </c>
    </row>
    <row r="35" ht="22" customHeight="1">
      <c r="A35" s="8" t="inlineStr">
        <is>
          <t>gto_matched_count</t>
        </is>
      </c>
      <c r="B35" s="8" t="inlineStr">
        <is>
          <t>符合 GTO 标准数量</t>
        </is>
      </c>
      <c r="C35" s="8" t="inlineStr">
        <is>
          <t>GTO决策</t>
        </is>
      </c>
      <c r="D35" s="6" t="inlineStr">
        <is>
          <t>P0</t>
        </is>
      </c>
      <c r="E35" s="7" t="n">
        <v>1</v>
      </c>
      <c r="F35" s="7" t="n">
        <v>1</v>
      </c>
      <c r="G35" s="7" t="n">
        <v>2</v>
      </c>
    </row>
    <row r="36" ht="22" customHeight="1">
      <c r="A36" s="8" t="inlineStr">
        <is>
          <t>acceptable_count</t>
        </is>
      </c>
      <c r="B36" s="8" t="inlineStr">
        <is>
          <t>基本可接受数量</t>
        </is>
      </c>
      <c r="C36" s="8" t="inlineStr">
        <is>
          <t>GTO决策</t>
        </is>
      </c>
      <c r="D36" s="6" t="inlineStr">
        <is>
          <t>P0</t>
        </is>
      </c>
      <c r="E36" s="7" t="n">
        <v>1</v>
      </c>
      <c r="F36" s="7" t="n">
        <v>1</v>
      </c>
      <c r="G36" s="7" t="n">
        <v>2</v>
      </c>
    </row>
    <row r="37" ht="22" customHeight="1">
      <c r="A37" s="8" t="inlineStr">
        <is>
          <t>high_risk_count</t>
        </is>
      </c>
      <c r="B37" s="8" t="inlineStr">
        <is>
          <t>风险偏高数量</t>
        </is>
      </c>
      <c r="C37" s="8" t="inlineStr">
        <is>
          <t>GTO决策</t>
        </is>
      </c>
      <c r="D37" s="6" t="inlineStr">
        <is>
          <t>P0</t>
        </is>
      </c>
      <c r="E37" s="7" t="n">
        <v>1</v>
      </c>
      <c r="F37" s="7" t="n">
        <v>1</v>
      </c>
      <c r="G37" s="7" t="n">
        <v>2</v>
      </c>
    </row>
    <row r="38" ht="22" customHeight="1">
      <c r="A38" s="8" t="inlineStr">
        <is>
          <t>insufficient_info_count</t>
        </is>
      </c>
      <c r="B38" s="8" t="inlineStr">
        <is>
          <t>信息不足数量</t>
        </is>
      </c>
      <c r="C38" s="8" t="inlineStr">
        <is>
          <t>GTO决策</t>
        </is>
      </c>
      <c r="D38" s="6" t="inlineStr">
        <is>
          <t>P0</t>
        </is>
      </c>
      <c r="E38" s="7" t="n">
        <v>1</v>
      </c>
      <c r="F38" s="7" t="n">
        <v>1</v>
      </c>
      <c r="G38" s="7" t="n">
        <v>2</v>
      </c>
    </row>
    <row r="39" ht="22" customHeight="1">
      <c r="A39" s="8" t="inlineStr">
        <is>
          <t>gto_match_rate</t>
        </is>
      </c>
      <c r="B39" s="8" t="inlineStr">
        <is>
          <t>GTO 执行匹配度</t>
        </is>
      </c>
      <c r="C39" s="8" t="inlineStr">
        <is>
          <t>GTO决策</t>
        </is>
      </c>
      <c r="D39" s="6" t="inlineStr">
        <is>
          <t>P0</t>
        </is>
      </c>
      <c r="E39" s="7" t="n">
        <v>2</v>
      </c>
      <c r="F39" s="7" t="n">
        <v>2</v>
      </c>
      <c r="G39" s="7" t="n">
        <v>4</v>
      </c>
    </row>
    <row r="40" ht="22" customHeight="1">
      <c r="A40" s="8" t="inlineStr">
        <is>
          <t>acceptable_decision_rate</t>
        </is>
      </c>
      <c r="B40" s="8" t="inlineStr">
        <is>
          <t>可接受决策占比</t>
        </is>
      </c>
      <c r="C40" s="8" t="inlineStr">
        <is>
          <t>GTO决策</t>
        </is>
      </c>
      <c r="D40" s="6" t="inlineStr">
        <is>
          <t>P0</t>
        </is>
      </c>
      <c r="E40" s="7" t="n">
        <v>2</v>
      </c>
      <c r="F40" s="7" t="n">
        <v>2</v>
      </c>
      <c r="G40" s="7" t="n">
        <v>4</v>
      </c>
    </row>
    <row r="41" ht="22" customHeight="1">
      <c r="A41" s="8" t="inlineStr">
        <is>
          <t>high_risk_decision_rate</t>
        </is>
      </c>
      <c r="B41" s="8" t="inlineStr">
        <is>
          <t>高风险决策占比</t>
        </is>
      </c>
      <c r="C41" s="8" t="inlineStr">
        <is>
          <t>GTO决策</t>
        </is>
      </c>
      <c r="D41" s="6" t="inlineStr">
        <is>
          <t>P0</t>
        </is>
      </c>
      <c r="E41" s="7" t="n">
        <v>2</v>
      </c>
      <c r="F41" s="7" t="n">
        <v>2</v>
      </c>
      <c r="G41" s="7" t="n">
        <v>4</v>
      </c>
    </row>
    <row r="42" ht="22" customHeight="1">
      <c r="A42" s="8" t="inlineStr">
        <is>
          <t>risk_by_street</t>
        </is>
      </c>
      <c r="B42" s="8" t="inlineStr">
        <is>
          <t>各街高风险决策分布</t>
        </is>
      </c>
      <c r="C42" s="8" t="inlineStr">
        <is>
          <t>GTO决策</t>
        </is>
      </c>
      <c r="D42" s="13" t="inlineStr">
        <is>
          <t>P1</t>
        </is>
      </c>
      <c r="E42" s="7" t="n">
        <v>2</v>
      </c>
      <c r="F42" s="7" t="n">
        <v>1</v>
      </c>
      <c r="G42" s="7" t="n">
        <v>3</v>
      </c>
    </row>
    <row r="43" ht="22" customHeight="1">
      <c r="A43" s="8" t="inlineStr">
        <is>
          <t>risk_by_position</t>
        </is>
      </c>
      <c r="B43" s="8" t="inlineStr">
        <is>
          <t>各位置高风险决策分布</t>
        </is>
      </c>
      <c r="C43" s="8" t="inlineStr">
        <is>
          <t>GTO决策</t>
        </is>
      </c>
      <c r="D43" s="13" t="inlineStr">
        <is>
          <t>P1</t>
        </is>
      </c>
      <c r="E43" s="7" t="n">
        <v>1</v>
      </c>
      <c r="F43" s="7" t="n">
        <v>1</v>
      </c>
      <c r="G43" s="7" t="n">
        <v>2</v>
      </c>
    </row>
    <row r="44" ht="22" customHeight="1">
      <c r="A44" s="8" t="inlineStr">
        <is>
          <t>risk_by_pot_type</t>
        </is>
      </c>
      <c r="B44" s="8" t="inlineStr">
        <is>
          <t>高风险决策场景分布（AI标签）</t>
        </is>
      </c>
      <c r="C44" s="8" t="inlineStr">
        <is>
          <t>GTO决策</t>
        </is>
      </c>
      <c r="D44" s="13" t="inlineStr">
        <is>
          <t>P1</t>
        </is>
      </c>
      <c r="E44" s="7" t="n">
        <v>1</v>
      </c>
      <c r="F44" s="7" t="n">
        <v>1</v>
      </c>
      <c r="G44" s="7" t="n">
        <v>2</v>
      </c>
    </row>
    <row r="45" ht="22" customHeight="1">
      <c r="A45" s="8" t="inlineStr">
        <is>
          <t>actual_action</t>
        </is>
      </c>
      <c r="B45" s="8" t="inlineStr">
        <is>
          <t>Hero 实际动作</t>
        </is>
      </c>
      <c r="C45" s="8" t="inlineStr">
        <is>
          <t>GTO决策</t>
        </is>
      </c>
      <c r="D45" s="6" t="inlineStr">
        <is>
          <t>P0</t>
        </is>
      </c>
      <c r="E45" s="7" t="n">
        <v>1</v>
      </c>
      <c r="F45" s="7" t="n">
        <v>1</v>
      </c>
      <c r="G45" s="7" t="n">
        <v>2</v>
      </c>
    </row>
    <row r="46" ht="22" customHeight="1">
      <c r="A46" s="8" t="inlineStr">
        <is>
          <t>gto_recommended_action</t>
        </is>
      </c>
      <c r="B46" s="8" t="inlineStr">
        <is>
          <t>GTO 推荐动作</t>
        </is>
      </c>
      <c r="C46" s="8" t="inlineStr">
        <is>
          <t>GTO决策</t>
        </is>
      </c>
      <c r="D46" s="6" t="inlineStr">
        <is>
          <t>P0</t>
        </is>
      </c>
      <c r="E46" s="7" t="n">
        <v>1</v>
      </c>
      <c r="F46" s="7" t="n">
        <v>2</v>
      </c>
      <c r="G46" s="7" t="n">
        <v>3</v>
      </c>
    </row>
    <row r="47" ht="22" customHeight="1">
      <c r="A47" s="8" t="inlineStr">
        <is>
          <t>gto_action_tendency</t>
        </is>
      </c>
      <c r="B47" s="8" t="inlineStr">
        <is>
          <t>GTO 动作倾向（AI标签）</t>
        </is>
      </c>
      <c r="C47" s="8" t="inlineStr">
        <is>
          <t>GTO决策</t>
        </is>
      </c>
      <c r="D47" s="6" t="inlineStr">
        <is>
          <t>P0</t>
        </is>
      </c>
      <c r="E47" s="7" t="n">
        <v>1</v>
      </c>
      <c r="F47" s="7" t="n">
        <v>2</v>
      </c>
      <c r="G47" s="7" t="n">
        <v>3</v>
      </c>
    </row>
    <row r="48" ht="22" customHeight="1">
      <c r="A48" s="8" t="inlineStr">
        <is>
          <t>decision_quality_label</t>
        </is>
      </c>
      <c r="B48" s="8" t="inlineStr">
        <is>
          <t>决策质量分类</t>
        </is>
      </c>
      <c r="C48" s="8" t="inlineStr">
        <is>
          <t>GTO决策</t>
        </is>
      </c>
      <c r="D48" s="6" t="inlineStr">
        <is>
          <t>P0</t>
        </is>
      </c>
      <c r="E48" s="7" t="n">
        <v>1</v>
      </c>
      <c r="F48" s="7" t="n">
        <v>1</v>
      </c>
      <c r="G48" s="7" t="n">
        <v>2</v>
      </c>
    </row>
    <row r="49" ht="22" customHeight="1">
      <c r="A49" s="8" t="inlineStr">
        <is>
          <t>vpip_rate</t>
        </is>
      </c>
      <c r="B49" s="8" t="inlineStr">
        <is>
          <t>主动参与率 VPIP</t>
        </is>
      </c>
      <c r="C49" s="8" t="inlineStr">
        <is>
          <t>打法画像</t>
        </is>
      </c>
      <c r="D49" s="13" t="inlineStr">
        <is>
          <t>P1</t>
        </is>
      </c>
      <c r="E49" s="7" t="n">
        <v>4</v>
      </c>
      <c r="F49" s="7" t="n">
        <v>7</v>
      </c>
      <c r="G49" s="7" t="n">
        <v>11</v>
      </c>
    </row>
    <row r="50" ht="22" customHeight="1">
      <c r="A50" s="8" t="inlineStr">
        <is>
          <t>pfr_rate</t>
        </is>
      </c>
      <c r="B50" s="8" t="inlineStr">
        <is>
          <t>翻前加注率 PFR</t>
        </is>
      </c>
      <c r="C50" s="8" t="inlineStr">
        <is>
          <t>打法画像</t>
        </is>
      </c>
      <c r="D50" s="13" t="inlineStr">
        <is>
          <t>P1</t>
        </is>
      </c>
      <c r="E50" s="7" t="n">
        <v>4</v>
      </c>
      <c r="F50" s="7" t="n">
        <v>3</v>
      </c>
      <c r="G50" s="7" t="n">
        <v>7</v>
      </c>
    </row>
    <row r="51" ht="22" customHeight="1">
      <c r="A51" s="8" t="inlineStr">
        <is>
          <t>limp_rate</t>
        </is>
      </c>
      <c r="B51" s="8" t="inlineStr">
        <is>
          <t>翻前平入率</t>
        </is>
      </c>
      <c r="C51" s="8" t="inlineStr">
        <is>
          <t>打法画像</t>
        </is>
      </c>
      <c r="D51" s="7" t="inlineStr">
        <is>
          <t>P2</t>
        </is>
      </c>
      <c r="E51" s="7" t="n">
        <v>3</v>
      </c>
      <c r="F51" s="7" t="n">
        <v>2</v>
      </c>
      <c r="G51" s="7" t="n">
        <v>5</v>
      </c>
    </row>
    <row r="52" ht="22" customHeight="1">
      <c r="A52" s="8" t="inlineStr">
        <is>
          <t>call_open_rate</t>
        </is>
      </c>
      <c r="B52" s="8" t="inlineStr">
        <is>
          <t>面对 open raise 跟注率</t>
        </is>
      </c>
      <c r="C52" s="8" t="inlineStr">
        <is>
          <t>打法画像</t>
        </is>
      </c>
      <c r="D52" s="13" t="inlineStr">
        <is>
          <t>P1</t>
        </is>
      </c>
      <c r="E52" s="7" t="n">
        <v>3</v>
      </c>
      <c r="F52" s="7" t="n">
        <v>2</v>
      </c>
      <c r="G52" s="7" t="n">
        <v>5</v>
      </c>
    </row>
    <row r="53" ht="22" customHeight="1">
      <c r="A53" s="8" t="inlineStr">
        <is>
          <t>three_bet_rate</t>
        </is>
      </c>
      <c r="B53" s="8" t="inlineStr">
        <is>
          <t>3-Bet 频率</t>
        </is>
      </c>
      <c r="C53" s="8" t="inlineStr">
        <is>
          <t>打法画像</t>
        </is>
      </c>
      <c r="D53" s="13" t="inlineStr">
        <is>
          <t>P1</t>
        </is>
      </c>
      <c r="E53" s="7" t="n">
        <v>3</v>
      </c>
      <c r="F53" s="7" t="n">
        <v>2</v>
      </c>
      <c r="G53" s="7" t="n">
        <v>5</v>
      </c>
    </row>
    <row r="54" ht="22" customHeight="1">
      <c r="A54" s="8" t="inlineStr">
        <is>
          <t>four_bet_rate</t>
        </is>
      </c>
      <c r="B54" s="8" t="inlineStr">
        <is>
          <t>4-Bet 频率</t>
        </is>
      </c>
      <c r="C54" s="8" t="inlineStr">
        <is>
          <t>打法画像</t>
        </is>
      </c>
      <c r="D54" s="7" t="inlineStr">
        <is>
          <t>P2</t>
        </is>
      </c>
      <c r="E54" s="7" t="n">
        <v>3</v>
      </c>
      <c r="F54" s="7" t="n">
        <v>2</v>
      </c>
      <c r="G54" s="7" t="n">
        <v>5</v>
      </c>
    </row>
    <row r="55" ht="22" customHeight="1">
      <c r="A55" s="8" t="inlineStr">
        <is>
          <t>fold_to_3bet_rate</t>
        </is>
      </c>
      <c r="B55" s="8" t="inlineStr">
        <is>
          <t>面对 3-Bet 弃牌率</t>
        </is>
      </c>
      <c r="C55" s="8" t="inlineStr">
        <is>
          <t>打法画像</t>
        </is>
      </c>
      <c r="D55" s="7" t="inlineStr">
        <is>
          <t>P2</t>
        </is>
      </c>
      <c r="E55" s="7" t="n">
        <v>3</v>
      </c>
      <c r="F55" s="7" t="n">
        <v>2</v>
      </c>
      <c r="G55" s="7" t="n">
        <v>5</v>
      </c>
    </row>
    <row r="56" ht="22" customHeight="1">
      <c r="A56" s="8" t="inlineStr">
        <is>
          <t>bb_defense_rate</t>
        </is>
      </c>
      <c r="B56" s="8" t="inlineStr">
        <is>
          <t>大盲防守频率</t>
        </is>
      </c>
      <c r="C56" s="8" t="inlineStr">
        <is>
          <t>打法画像</t>
        </is>
      </c>
      <c r="D56" s="13" t="inlineStr">
        <is>
          <t>P1</t>
        </is>
      </c>
      <c r="E56" s="7" t="n">
        <v>3</v>
      </c>
      <c r="F56" s="7" t="n">
        <v>2</v>
      </c>
      <c r="G56" s="7" t="n">
        <v>5</v>
      </c>
    </row>
    <row r="57" ht="22" customHeight="1">
      <c r="A57" s="8" t="inlineStr">
        <is>
          <t>sb_defense_rate</t>
        </is>
      </c>
      <c r="B57" s="8" t="inlineStr">
        <is>
          <t>小盲防守频率</t>
        </is>
      </c>
      <c r="C57" s="8" t="inlineStr">
        <is>
          <t>打法画像</t>
        </is>
      </c>
      <c r="D57" s="7" t="inlineStr">
        <is>
          <t>P2</t>
        </is>
      </c>
      <c r="E57" s="7" t="n">
        <v>3</v>
      </c>
      <c r="F57" s="7" t="n">
        <v>2</v>
      </c>
      <c r="G57" s="7" t="n">
        <v>5</v>
      </c>
    </row>
    <row r="58" ht="22" customHeight="1">
      <c r="A58" s="8" t="inlineStr">
        <is>
          <t>cbet_flop_rate</t>
        </is>
      </c>
      <c r="B58" s="8" t="inlineStr">
        <is>
          <t>翻牌持续下注率</t>
        </is>
      </c>
      <c r="C58" s="8" t="inlineStr">
        <is>
          <t>打法画像</t>
        </is>
      </c>
      <c r="D58" s="13" t="inlineStr">
        <is>
          <t>P1</t>
        </is>
      </c>
      <c r="E58" s="7" t="n">
        <v>3</v>
      </c>
      <c r="F58" s="7" t="n">
        <v>2</v>
      </c>
      <c r="G58" s="7" t="n">
        <v>5</v>
      </c>
    </row>
    <row r="59" ht="22" customHeight="1">
      <c r="A59" s="8" t="inlineStr">
        <is>
          <t>turn_barrel_rate</t>
        </is>
      </c>
      <c r="B59" s="8" t="inlineStr">
        <is>
          <t>转牌继续下注率</t>
        </is>
      </c>
      <c r="C59" s="8" t="inlineStr">
        <is>
          <t>打法画像</t>
        </is>
      </c>
      <c r="D59" s="7" t="inlineStr">
        <is>
          <t>P2</t>
        </is>
      </c>
      <c r="E59" s="7" t="n">
        <v>3</v>
      </c>
      <c r="F59" s="7" t="n">
        <v>2</v>
      </c>
      <c r="G59" s="7" t="n">
        <v>5</v>
      </c>
    </row>
    <row r="60" ht="22" customHeight="1">
      <c r="A60" s="8" t="inlineStr">
        <is>
          <t>river_bet_rate</t>
        </is>
      </c>
      <c r="B60" s="8" t="inlineStr">
        <is>
          <t>河牌下注率</t>
        </is>
      </c>
      <c r="C60" s="8" t="inlineStr">
        <is>
          <t>打法画像</t>
        </is>
      </c>
      <c r="D60" s="7" t="inlineStr">
        <is>
          <t>P2</t>
        </is>
      </c>
      <c r="E60" s="7" t="n">
        <v>3</v>
      </c>
      <c r="F60" s="7" t="n">
        <v>2</v>
      </c>
      <c r="G60" s="7" t="n">
        <v>5</v>
      </c>
    </row>
    <row r="61" ht="22" customHeight="1">
      <c r="A61" s="8" t="inlineStr">
        <is>
          <t>river_call_vs_raise_rate</t>
        </is>
      </c>
      <c r="B61" s="8" t="inlineStr">
        <is>
          <t>河牌面对加注跟注率</t>
        </is>
      </c>
      <c r="C61" s="8" t="inlineStr">
        <is>
          <t>打法画像</t>
        </is>
      </c>
      <c r="D61" s="13" t="inlineStr">
        <is>
          <t>P1</t>
        </is>
      </c>
      <c r="E61" s="7" t="n">
        <v>3</v>
      </c>
      <c r="F61" s="7" t="n">
        <v>2</v>
      </c>
      <c r="G61" s="7" t="n">
        <v>5</v>
      </c>
    </row>
    <row r="62" ht="22" customHeight="1">
      <c r="A62" s="8" t="inlineStr">
        <is>
          <t>postflop_call_rate</t>
        </is>
      </c>
      <c r="B62" s="8" t="inlineStr">
        <is>
          <t>翻后跟注率</t>
        </is>
      </c>
      <c r="C62" s="8" t="inlineStr">
        <is>
          <t>打法画像</t>
        </is>
      </c>
      <c r="D62" s="13" t="inlineStr">
        <is>
          <t>P1</t>
        </is>
      </c>
      <c r="E62" s="7" t="n">
        <v>6</v>
      </c>
      <c r="F62" s="7" t="n">
        <v>3</v>
      </c>
      <c r="G62" s="7" t="n">
        <v>9</v>
      </c>
    </row>
    <row r="63" ht="22" customHeight="1">
      <c r="A63" s="8" t="inlineStr">
        <is>
          <t>postflop_raise_rate</t>
        </is>
      </c>
      <c r="B63" s="8" t="inlineStr">
        <is>
          <t>翻后加注率</t>
        </is>
      </c>
      <c r="C63" s="8" t="inlineStr">
        <is>
          <t>打法画像</t>
        </is>
      </c>
      <c r="D63" s="7" t="inlineStr">
        <is>
          <t>P2</t>
        </is>
      </c>
      <c r="E63" s="7" t="n">
        <v>6</v>
      </c>
      <c r="F63" s="7" t="n">
        <v>4</v>
      </c>
      <c r="G63" s="7" t="n">
        <v>10</v>
      </c>
    </row>
    <row r="64" ht="22" customHeight="1">
      <c r="A64" s="8" t="inlineStr">
        <is>
          <t>multiway_pot_rate</t>
        </is>
      </c>
      <c r="B64" s="8" t="inlineStr">
        <is>
          <t>多人底池参与率</t>
        </is>
      </c>
      <c r="C64" s="8" t="inlineStr">
        <is>
          <t>打法画像</t>
        </is>
      </c>
      <c r="D64" s="13" t="inlineStr">
        <is>
          <t>P1</t>
        </is>
      </c>
      <c r="E64" s="7" t="n">
        <v>2</v>
      </c>
      <c r="F64" s="7" t="n">
        <v>2</v>
      </c>
      <c r="G64" s="7" t="n">
        <v>4</v>
      </c>
    </row>
    <row r="65" ht="22" customHeight="1">
      <c r="A65" s="8" t="inlineStr">
        <is>
          <t>weak_top_pair_continue_rate</t>
        </is>
      </c>
      <c r="B65" s="8" t="inlineStr">
        <is>
          <t>弱顶对持续投入率</t>
        </is>
      </c>
      <c r="C65" s="8" t="inlineStr">
        <is>
          <t>打法画像</t>
        </is>
      </c>
      <c r="D65" s="13" t="inlineStr">
        <is>
          <t>P1</t>
        </is>
      </c>
      <c r="E65" s="7" t="n">
        <v>2</v>
      </c>
      <c r="F65" s="7" t="n">
        <v>3</v>
      </c>
      <c r="G65" s="7" t="n">
        <v>5</v>
      </c>
    </row>
    <row r="66" ht="22" customHeight="1">
      <c r="A66" s="8" t="inlineStr">
        <is>
          <t>marginal_hand_entry_rate</t>
        </is>
      </c>
      <c r="B66" s="8" t="inlineStr">
        <is>
          <t>边缘牌入池率</t>
        </is>
      </c>
      <c r="C66" s="8" t="inlineStr">
        <is>
          <t>打法画像</t>
        </is>
      </c>
      <c r="D66" s="13" t="inlineStr">
        <is>
          <t>P1</t>
        </is>
      </c>
      <c r="E66" s="7" t="n">
        <v>2</v>
      </c>
      <c r="F66" s="7" t="n">
        <v>2</v>
      </c>
      <c r="G66" s="7" t="n">
        <v>4</v>
      </c>
    </row>
    <row r="67" ht="22" customHeight="1">
      <c r="A67" s="8" t="inlineStr">
        <is>
          <t>aggression_ratio</t>
        </is>
      </c>
      <c r="B67" s="8" t="inlineStr">
        <is>
          <t>激进动作占比</t>
        </is>
      </c>
      <c r="C67" s="8" t="inlineStr">
        <is>
          <t>打法画像</t>
        </is>
      </c>
      <c r="D67" s="7" t="inlineStr">
        <is>
          <t>P2</t>
        </is>
      </c>
      <c r="E67" s="7" t="n">
        <v>3</v>
      </c>
      <c r="F67" s="7" t="n">
        <v>1</v>
      </c>
      <c r="G67" s="7" t="n">
        <v>4</v>
      </c>
    </row>
    <row r="68" ht="22" customHeight="1">
      <c r="A68" s="8" t="inlineStr">
        <is>
          <t>passive_call_ratio</t>
        </is>
      </c>
      <c r="B68" s="8" t="inlineStr">
        <is>
          <t>被动跟注占比</t>
        </is>
      </c>
      <c r="C68" s="8" t="inlineStr">
        <is>
          <t>打法画像</t>
        </is>
      </c>
      <c r="D68" s="13" t="inlineStr">
        <is>
          <t>P1</t>
        </is>
      </c>
      <c r="E68" s="7" t="n">
        <v>2</v>
      </c>
      <c r="F68" s="7" t="n">
        <v>1</v>
      </c>
      <c r="G68" s="7" t="n">
        <v>3</v>
      </c>
    </row>
    <row r="69" ht="22" customHeight="1">
      <c r="A69" s="8" t="inlineStr">
        <is>
          <t>position_name</t>
        </is>
      </c>
      <c r="B69" s="8" t="inlineStr">
        <is>
          <t>真实位置</t>
        </is>
      </c>
      <c r="C69" s="8" t="inlineStr">
        <is>
          <t>位置数据</t>
        </is>
      </c>
      <c r="D69" s="6" t="inlineStr">
        <is>
          <t>P0</t>
        </is>
      </c>
      <c r="E69" s="7" t="n">
        <v>1</v>
      </c>
      <c r="F69" s="7" t="n">
        <v>1</v>
      </c>
      <c r="G69" s="7" t="n">
        <v>2</v>
      </c>
    </row>
    <row r="70" ht="22" customHeight="1">
      <c r="A70" s="8" t="inlineStr">
        <is>
          <t>hands_by_position</t>
        </is>
      </c>
      <c r="B70" s="8" t="inlineStr">
        <is>
          <t>各位置手数</t>
        </is>
      </c>
      <c r="C70" s="8" t="inlineStr">
        <is>
          <t>位置数据</t>
        </is>
      </c>
      <c r="D70" s="13" t="inlineStr">
        <is>
          <t>P1</t>
        </is>
      </c>
      <c r="E70" s="7" t="n">
        <v>1</v>
      </c>
      <c r="F70" s="7" t="n">
        <v>1</v>
      </c>
      <c r="G70" s="7" t="n">
        <v>2</v>
      </c>
    </row>
    <row r="71" ht="22" customHeight="1">
      <c r="A71" s="8" t="inlineStr">
        <is>
          <t>played_by_position</t>
        </is>
      </c>
      <c r="B71" s="8" t="inlineStr">
        <is>
          <t>各位置参与手数</t>
        </is>
      </c>
      <c r="C71" s="8" t="inlineStr">
        <is>
          <t>位置数据</t>
        </is>
      </c>
      <c r="D71" s="13" t="inlineStr">
        <is>
          <t>P1</t>
        </is>
      </c>
      <c r="E71" s="7" t="n">
        <v>1</v>
      </c>
      <c r="F71" s="7" t="n">
        <v>1</v>
      </c>
      <c r="G71" s="7" t="n">
        <v>2</v>
      </c>
    </row>
    <row r="72" ht="22" customHeight="1">
      <c r="A72" s="8" t="inlineStr">
        <is>
          <t>vpip_by_position</t>
        </is>
      </c>
      <c r="B72" s="8" t="inlineStr">
        <is>
          <t>各位置入池率</t>
        </is>
      </c>
      <c r="C72" s="8" t="inlineStr">
        <is>
          <t>位置数据</t>
        </is>
      </c>
      <c r="D72" s="13" t="inlineStr">
        <is>
          <t>P1</t>
        </is>
      </c>
      <c r="E72" s="7" t="n">
        <v>2</v>
      </c>
      <c r="F72" s="7" t="n">
        <v>1</v>
      </c>
      <c r="G72" s="7" t="n">
        <v>3</v>
      </c>
    </row>
    <row r="73" ht="22" customHeight="1">
      <c r="A73" s="8" t="inlineStr">
        <is>
          <t>pfr_by_position</t>
        </is>
      </c>
      <c r="B73" s="8" t="inlineStr">
        <is>
          <t>各位置加注率</t>
        </is>
      </c>
      <c r="C73" s="8" t="inlineStr">
        <is>
          <t>位置数据</t>
        </is>
      </c>
      <c r="D73" s="13" t="inlineStr">
        <is>
          <t>P1</t>
        </is>
      </c>
      <c r="E73" s="7" t="n">
        <v>2</v>
      </c>
      <c r="F73" s="7" t="n">
        <v>1</v>
      </c>
      <c r="G73" s="7" t="n">
        <v>3</v>
      </c>
    </row>
    <row r="74" ht="22" customHeight="1">
      <c r="A74" s="8" t="inlineStr">
        <is>
          <t>call_by_position</t>
        </is>
      </c>
      <c r="B74" s="8" t="inlineStr">
        <is>
          <t>各位置跟注率</t>
        </is>
      </c>
      <c r="C74" s="8" t="inlineStr">
        <is>
          <t>位置数据</t>
        </is>
      </c>
      <c r="D74" s="7" t="inlineStr">
        <is>
          <t>P2</t>
        </is>
      </c>
      <c r="E74" s="7" t="n">
        <v>1</v>
      </c>
      <c r="F74" s="7" t="n">
        <v>1</v>
      </c>
      <c r="G74" s="7" t="n">
        <v>2</v>
      </c>
    </row>
    <row r="75" ht="22" customHeight="1">
      <c r="A75" s="8" t="inlineStr">
        <is>
          <t>profit_by_position</t>
        </is>
      </c>
      <c r="B75" s="8" t="inlineStr">
        <is>
          <t>各位置盈亏</t>
        </is>
      </c>
      <c r="C75" s="8" t="inlineStr">
        <is>
          <t>位置数据</t>
        </is>
      </c>
      <c r="D75" s="13" t="inlineStr">
        <is>
          <t>P1</t>
        </is>
      </c>
      <c r="E75" s="7" t="n">
        <v>1</v>
      </c>
      <c r="F75" s="7" t="n">
        <v>1</v>
      </c>
      <c r="G75" s="7" t="n">
        <v>2</v>
      </c>
    </row>
    <row r="76" ht="22" customHeight="1">
      <c r="A76" s="8" t="inlineStr">
        <is>
          <t>ev_by_position</t>
        </is>
      </c>
      <c r="B76" s="8" t="inlineStr">
        <is>
          <t>各位置期望值</t>
        </is>
      </c>
      <c r="C76" s="8" t="inlineStr">
        <is>
          <t>位置数据</t>
        </is>
      </c>
      <c r="D76" s="7" t="inlineStr">
        <is>
          <t>P2</t>
        </is>
      </c>
      <c r="E76" s="7" t="n">
        <v>1</v>
      </c>
      <c r="F76" s="7" t="n">
        <v>1</v>
      </c>
      <c r="G76" s="7" t="n">
        <v>2</v>
      </c>
    </row>
    <row r="77" ht="22" customHeight="1">
      <c r="A77" s="8" t="inlineStr">
        <is>
          <t>risk_decisions_by_position</t>
        </is>
      </c>
      <c r="B77" s="8" t="inlineStr">
        <is>
          <t>各位置高风险决策数</t>
        </is>
      </c>
      <c r="C77" s="8" t="inlineStr">
        <is>
          <t>位置数据</t>
        </is>
      </c>
      <c r="D77" s="13" t="inlineStr">
        <is>
          <t>P1</t>
        </is>
      </c>
      <c r="E77" s="7" t="n">
        <v>1</v>
      </c>
      <c r="F77" s="7" t="n">
        <v>1</v>
      </c>
      <c r="G77" s="7" t="n">
        <v>2</v>
      </c>
    </row>
    <row r="78" ht="22" customHeight="1">
      <c r="A78" s="8" t="inlineStr">
        <is>
          <t>bb_defense_quality</t>
        </is>
      </c>
      <c r="B78" s="8" t="inlineStr">
        <is>
          <t>BB 防守质量</t>
        </is>
      </c>
      <c r="C78" s="8" t="inlineStr">
        <is>
          <t>位置数据</t>
        </is>
      </c>
      <c r="D78" s="13" t="inlineStr">
        <is>
          <t>P1</t>
        </is>
      </c>
      <c r="E78" s="7" t="n">
        <v>1</v>
      </c>
      <c r="F78" s="7" t="n">
        <v>1</v>
      </c>
      <c r="G78" s="7" t="n">
        <v>2</v>
      </c>
    </row>
    <row r="79" ht="22" customHeight="1">
      <c r="A79" s="8" t="inlineStr">
        <is>
          <t>sb_defense_quality</t>
        </is>
      </c>
      <c r="B79" s="8" t="inlineStr">
        <is>
          <t>SB 防守质量</t>
        </is>
      </c>
      <c r="C79" s="8" t="inlineStr">
        <is>
          <t>位置数据</t>
        </is>
      </c>
      <c r="D79" s="7" t="inlineStr">
        <is>
          <t>P2</t>
        </is>
      </c>
      <c r="E79" s="7" t="n">
        <v>1</v>
      </c>
      <c r="F79" s="7" t="n">
        <v>1</v>
      </c>
      <c r="G79" s="7" t="n">
        <v>2</v>
      </c>
    </row>
    <row r="80" ht="22" customHeight="1">
      <c r="A80" s="8" t="inlineStr">
        <is>
          <t>opponent_id</t>
        </is>
      </c>
      <c r="B80" s="8" t="inlineStr">
        <is>
          <t>对手唯一标识</t>
        </is>
      </c>
      <c r="C80" s="8" t="inlineStr">
        <is>
          <t>对手数据</t>
        </is>
      </c>
      <c r="D80" s="13" t="inlineStr">
        <is>
          <t>P1</t>
        </is>
      </c>
      <c r="E80" s="7" t="n">
        <v>1</v>
      </c>
      <c r="F80" s="7" t="n">
        <v>1</v>
      </c>
      <c r="G80" s="7" t="n">
        <v>2</v>
      </c>
    </row>
    <row r="81" ht="22" customHeight="1">
      <c r="A81" s="8" t="inlineStr">
        <is>
          <t>opponent_name</t>
        </is>
      </c>
      <c r="B81" s="8" t="inlineStr">
        <is>
          <t>对手昵称</t>
        </is>
      </c>
      <c r="C81" s="8" t="inlineStr">
        <is>
          <t>对手数据</t>
        </is>
      </c>
      <c r="D81" s="13" t="inlineStr">
        <is>
          <t>P1</t>
        </is>
      </c>
      <c r="E81" s="7" t="n">
        <v>1</v>
      </c>
      <c r="F81" s="7" t="n">
        <v>1</v>
      </c>
      <c r="G81" s="7" t="n">
        <v>2</v>
      </c>
    </row>
    <row r="82" ht="22" customHeight="1">
      <c r="A82" s="8" t="inlineStr">
        <is>
          <t>opponent_position_distribution</t>
        </is>
      </c>
      <c r="B82" s="8" t="inlineStr">
        <is>
          <t>对手位置分布</t>
        </is>
      </c>
      <c r="C82" s="8" t="inlineStr">
        <is>
          <t>对手数据</t>
        </is>
      </c>
      <c r="D82" s="7" t="inlineStr">
        <is>
          <t>P2</t>
        </is>
      </c>
      <c r="E82" s="7" t="n">
        <v>1</v>
      </c>
      <c r="F82" s="7" t="n">
        <v>1</v>
      </c>
      <c r="G82" s="7" t="n">
        <v>2</v>
      </c>
    </row>
    <row r="83" ht="22" customHeight="1">
      <c r="A83" s="8" t="inlineStr">
        <is>
          <t>hands_vs_hero</t>
        </is>
      </c>
      <c r="B83" s="8" t="inlineStr">
        <is>
          <t>与 Hero 交手手数</t>
        </is>
      </c>
      <c r="C83" s="8" t="inlineStr">
        <is>
          <t>对手数据</t>
        </is>
      </c>
      <c r="D83" s="13" t="inlineStr">
        <is>
          <t>P1</t>
        </is>
      </c>
      <c r="E83" s="7" t="n">
        <v>2</v>
      </c>
      <c r="F83" s="7" t="n">
        <v>2</v>
      </c>
      <c r="G83" s="7" t="n">
        <v>4</v>
      </c>
    </row>
    <row r="84" ht="22" customHeight="1">
      <c r="A84" s="8" t="inlineStr">
        <is>
          <t>profit_vs_opponent</t>
        </is>
      </c>
      <c r="B84" s="8" t="inlineStr">
        <is>
          <t>Hero 对该对手盈亏</t>
        </is>
      </c>
      <c r="C84" s="8" t="inlineStr">
        <is>
          <t>对手数据</t>
        </is>
      </c>
      <c r="D84" s="13" t="inlineStr">
        <is>
          <t>P1</t>
        </is>
      </c>
      <c r="E84" s="7" t="n">
        <v>3</v>
      </c>
      <c r="F84" s="7" t="n">
        <v>1</v>
      </c>
      <c r="G84" s="7" t="n">
        <v>4</v>
      </c>
    </row>
    <row r="85" ht="22" customHeight="1">
      <c r="A85" s="8" t="inlineStr">
        <is>
          <t>ev_vs_opponent</t>
        </is>
      </c>
      <c r="B85" s="8" t="inlineStr">
        <is>
          <t>Hero 对该对手期望值</t>
        </is>
      </c>
      <c r="C85" s="8" t="inlineStr">
        <is>
          <t>对手数据</t>
        </is>
      </c>
      <c r="D85" s="7" t="inlineStr">
        <is>
          <t>P2</t>
        </is>
      </c>
      <c r="E85" s="7" t="n">
        <v>2</v>
      </c>
      <c r="F85" s="7" t="n">
        <v>0</v>
      </c>
      <c r="G85" s="7" t="n">
        <v>2</v>
      </c>
    </row>
    <row r="86" ht="22" customHeight="1">
      <c r="A86" s="8" t="inlineStr">
        <is>
          <t>opponent_vpip</t>
        </is>
      </c>
      <c r="B86" s="8" t="inlineStr">
        <is>
          <t>对手 VPIP</t>
        </is>
      </c>
      <c r="C86" s="8" t="inlineStr">
        <is>
          <t>对手数据</t>
        </is>
      </c>
      <c r="D86" s="7" t="inlineStr">
        <is>
          <t>P2</t>
        </is>
      </c>
      <c r="E86" s="7" t="n">
        <v>1</v>
      </c>
      <c r="F86" s="7" t="n">
        <v>1</v>
      </c>
      <c r="G86" s="7" t="n">
        <v>2</v>
      </c>
    </row>
    <row r="87" ht="22" customHeight="1">
      <c r="A87" s="8" t="inlineStr">
        <is>
          <t>opponent_pfr</t>
        </is>
      </c>
      <c r="B87" s="8" t="inlineStr">
        <is>
          <t>对手 PFR</t>
        </is>
      </c>
      <c r="C87" s="8" t="inlineStr">
        <is>
          <t>对手数据</t>
        </is>
      </c>
      <c r="D87" s="7" t="inlineStr">
        <is>
          <t>P2</t>
        </is>
      </c>
      <c r="E87" s="7" t="n">
        <v>1</v>
      </c>
      <c r="F87" s="7" t="n">
        <v>1</v>
      </c>
      <c r="G87" s="7" t="n">
        <v>2</v>
      </c>
    </row>
    <row r="88" ht="22" customHeight="1">
      <c r="A88" s="8" t="inlineStr">
        <is>
          <t>opponent_raise_rate</t>
        </is>
      </c>
      <c r="B88" s="8" t="inlineStr">
        <is>
          <t>对手加注倾向</t>
        </is>
      </c>
      <c r="C88" s="8" t="inlineStr">
        <is>
          <t>对手数据</t>
        </is>
      </c>
      <c r="D88" s="13" t="inlineStr">
        <is>
          <t>P1</t>
        </is>
      </c>
      <c r="E88" s="7" t="n">
        <v>3</v>
      </c>
      <c r="F88" s="7" t="n">
        <v>2</v>
      </c>
      <c r="G88" s="7" t="n">
        <v>5</v>
      </c>
    </row>
    <row r="89" ht="22" customHeight="1">
      <c r="A89" s="8" t="inlineStr">
        <is>
          <t>opponent_call_rate</t>
        </is>
      </c>
      <c r="B89" s="8" t="inlineStr">
        <is>
          <t>对手跟注倾向</t>
        </is>
      </c>
      <c r="C89" s="8" t="inlineStr">
        <is>
          <t>对手数据</t>
        </is>
      </c>
      <c r="D89" s="13" t="inlineStr">
        <is>
          <t>P1</t>
        </is>
      </c>
      <c r="E89" s="7" t="n">
        <v>3</v>
      </c>
      <c r="F89" s="7" t="n">
        <v>2</v>
      </c>
      <c r="G89" s="7" t="n">
        <v>5</v>
      </c>
    </row>
    <row r="90" ht="22" customHeight="1">
      <c r="A90" s="8" t="inlineStr">
        <is>
          <t>opponent_fold_rate</t>
        </is>
      </c>
      <c r="B90" s="8" t="inlineStr">
        <is>
          <t>对手弃牌倾向</t>
        </is>
      </c>
      <c r="C90" s="8" t="inlineStr">
        <is>
          <t>对手数据</t>
        </is>
      </c>
      <c r="D90" s="13" t="inlineStr">
        <is>
          <t>P1</t>
        </is>
      </c>
      <c r="E90" s="7" t="n">
        <v>3</v>
      </c>
      <c r="F90" s="7" t="n">
        <v>2</v>
      </c>
      <c r="G90" s="7" t="n">
        <v>5</v>
      </c>
    </row>
    <row r="91" ht="22" customHeight="1">
      <c r="A91" s="8" t="inlineStr">
        <is>
          <t>opponent_3bet_rate</t>
        </is>
      </c>
      <c r="B91" s="8" t="inlineStr">
        <is>
          <t>对手 3-Bet 倾向</t>
        </is>
      </c>
      <c r="C91" s="8" t="inlineStr">
        <is>
          <t>对手数据</t>
        </is>
      </c>
      <c r="D91" s="7" t="inlineStr">
        <is>
          <t>P2</t>
        </is>
      </c>
      <c r="E91" s="7" t="n">
        <v>3</v>
      </c>
      <c r="F91" s="7" t="n">
        <v>2</v>
      </c>
      <c r="G91" s="7" t="n">
        <v>5</v>
      </c>
    </row>
    <row r="92" ht="22" customHeight="1">
      <c r="A92" s="8" t="inlineStr">
        <is>
          <t>opponent_cbet_rate</t>
        </is>
      </c>
      <c r="B92" s="8" t="inlineStr">
        <is>
          <t>对手持续下注倾向</t>
        </is>
      </c>
      <c r="C92" s="8" t="inlineStr">
        <is>
          <t>对手数据</t>
        </is>
      </c>
      <c r="D92" s="7" t="inlineStr">
        <is>
          <t>P2</t>
        </is>
      </c>
      <c r="E92" s="7" t="n">
        <v>3</v>
      </c>
      <c r="F92" s="7" t="n">
        <v>2</v>
      </c>
      <c r="G92" s="7" t="n">
        <v>5</v>
      </c>
    </row>
    <row r="93" ht="22" customHeight="1">
      <c r="A93" s="8" t="inlineStr">
        <is>
          <t>hero_response_vs_opponent</t>
        </is>
      </c>
      <c r="B93" s="8" t="inlineStr">
        <is>
          <t>Hero 对该对手应对方式</t>
        </is>
      </c>
      <c r="C93" s="8" t="inlineStr">
        <is>
          <t>对手数据</t>
        </is>
      </c>
      <c r="D93" s="13" t="inlineStr">
        <is>
          <t>P1</t>
        </is>
      </c>
      <c r="E93" s="7" t="n">
        <v>1</v>
      </c>
      <c r="F93" s="7" t="n">
        <v>2</v>
      </c>
      <c r="G93" s="7" t="n">
        <v>3</v>
      </c>
    </row>
    <row r="94" ht="22" customHeight="1">
      <c r="A94" s="8" t="inlineStr">
        <is>
          <t>hand_index</t>
        </is>
      </c>
      <c r="B94" s="8" t="inlineStr">
        <is>
          <t>第几手牌</t>
        </is>
      </c>
      <c r="C94" s="8" t="inlineStr">
        <is>
          <t>单手牌</t>
        </is>
      </c>
      <c r="D94" s="6" t="inlineStr">
        <is>
          <t>P0</t>
        </is>
      </c>
      <c r="E94" s="7" t="n">
        <v>1</v>
      </c>
      <c r="F94" s="7" t="n">
        <v>1</v>
      </c>
      <c r="G94" s="7" t="n">
        <v>2</v>
      </c>
    </row>
    <row r="95" ht="22" customHeight="1">
      <c r="A95" s="8" t="inlineStr">
        <is>
          <t>video_timestamp</t>
        </is>
      </c>
      <c r="B95" s="8" t="inlineStr">
        <is>
          <t>视频时间点</t>
        </is>
      </c>
      <c r="C95" s="8" t="inlineStr">
        <is>
          <t>单手牌</t>
        </is>
      </c>
      <c r="D95" s="6" t="inlineStr">
        <is>
          <t>P0</t>
        </is>
      </c>
      <c r="E95" s="7" t="n">
        <v>1</v>
      </c>
      <c r="F95" s="7" t="n">
        <v>1</v>
      </c>
      <c r="G95" s="7" t="n">
        <v>2</v>
      </c>
    </row>
    <row r="96" ht="22" customHeight="1">
      <c r="A96" s="8" t="inlineStr">
        <is>
          <t>hero_cards</t>
        </is>
      </c>
      <c r="B96" s="8" t="inlineStr">
        <is>
          <t>Hero 手牌</t>
        </is>
      </c>
      <c r="C96" s="8" t="inlineStr">
        <is>
          <t>单手牌</t>
        </is>
      </c>
      <c r="D96" s="6" t="inlineStr">
        <is>
          <t>P0</t>
        </is>
      </c>
      <c r="E96" s="7" t="n">
        <v>1</v>
      </c>
      <c r="F96" s="7" t="n">
        <v>2</v>
      </c>
      <c r="G96" s="7" t="n">
        <v>3</v>
      </c>
    </row>
    <row r="97" ht="22" customHeight="1">
      <c r="A97" s="8" t="inlineStr">
        <is>
          <t>hero_position</t>
        </is>
      </c>
      <c r="B97" s="8" t="inlineStr">
        <is>
          <t>Hero 真实位置</t>
        </is>
      </c>
      <c r="C97" s="8" t="inlineStr">
        <is>
          <t>单手牌</t>
        </is>
      </c>
      <c r="D97" s="6" t="inlineStr">
        <is>
          <t>P0</t>
        </is>
      </c>
      <c r="E97" s="7" t="n">
        <v>3</v>
      </c>
      <c r="F97" s="7" t="n">
        <v>1</v>
      </c>
      <c r="G97" s="7" t="n">
        <v>4</v>
      </c>
    </row>
    <row r="98" ht="22" customHeight="1">
      <c r="A98" s="8" t="inlineStr">
        <is>
          <t>blinds</t>
        </is>
      </c>
      <c r="B98" s="8" t="inlineStr">
        <is>
          <t>当前盲注</t>
        </is>
      </c>
      <c r="C98" s="8" t="inlineStr">
        <is>
          <t>单手牌</t>
        </is>
      </c>
      <c r="D98" s="6" t="inlineStr">
        <is>
          <t>P0</t>
        </is>
      </c>
      <c r="E98" s="7" t="n">
        <v>1</v>
      </c>
      <c r="F98" s="7" t="n">
        <v>1</v>
      </c>
      <c r="G98" s="7" t="n">
        <v>2</v>
      </c>
    </row>
    <row r="99" ht="22" customHeight="1">
      <c r="A99" s="8" t="inlineStr">
        <is>
          <t>effective_stack</t>
        </is>
      </c>
      <c r="B99" s="8" t="inlineStr">
        <is>
          <t>有效筹码</t>
        </is>
      </c>
      <c r="C99" s="8" t="inlineStr">
        <is>
          <t>单手牌</t>
        </is>
      </c>
      <c r="D99" s="13" t="inlineStr">
        <is>
          <t>P1</t>
        </is>
      </c>
      <c r="E99" s="7" t="n">
        <v>1</v>
      </c>
      <c r="F99" s="7" t="n">
        <v>1</v>
      </c>
      <c r="G99" s="7" t="n">
        <v>2</v>
      </c>
    </row>
    <row r="100" ht="22" customHeight="1">
      <c r="A100" s="8" t="inlineStr">
        <is>
          <t>board_flop</t>
        </is>
      </c>
      <c r="B100" s="8" t="inlineStr">
        <is>
          <t>翻牌公牌</t>
        </is>
      </c>
      <c r="C100" s="8" t="inlineStr">
        <is>
          <t>单手牌</t>
        </is>
      </c>
      <c r="D100" s="6" t="inlineStr">
        <is>
          <t>P0</t>
        </is>
      </c>
      <c r="E100" s="7" t="n">
        <v>1</v>
      </c>
      <c r="F100" s="7" t="n">
        <v>2</v>
      </c>
      <c r="G100" s="7" t="n">
        <v>3</v>
      </c>
    </row>
    <row r="101" ht="22" customHeight="1">
      <c r="A101" s="8" t="inlineStr">
        <is>
          <t>board_turn</t>
        </is>
      </c>
      <c r="B101" s="8" t="inlineStr">
        <is>
          <t>转牌公牌</t>
        </is>
      </c>
      <c r="C101" s="8" t="inlineStr">
        <is>
          <t>单手牌</t>
        </is>
      </c>
      <c r="D101" s="6" t="inlineStr">
        <is>
          <t>P0</t>
        </is>
      </c>
      <c r="E101" s="7" t="n">
        <v>1</v>
      </c>
      <c r="F101" s="7" t="n">
        <v>3</v>
      </c>
      <c r="G101" s="7" t="n">
        <v>4</v>
      </c>
    </row>
    <row r="102" ht="22" customHeight="1">
      <c r="A102" s="8" t="inlineStr">
        <is>
          <t>board_river</t>
        </is>
      </c>
      <c r="B102" s="8" t="inlineStr">
        <is>
          <t>河牌公牌</t>
        </is>
      </c>
      <c r="C102" s="8" t="inlineStr">
        <is>
          <t>单手牌</t>
        </is>
      </c>
      <c r="D102" s="6" t="inlineStr">
        <is>
          <t>P0</t>
        </is>
      </c>
      <c r="E102" s="7" t="n">
        <v>1</v>
      </c>
      <c r="F102" s="7" t="n">
        <v>3</v>
      </c>
      <c r="G102" s="7" t="n">
        <v>4</v>
      </c>
    </row>
    <row r="103" ht="22" customHeight="1">
      <c r="A103" s="8" t="inlineStr">
        <is>
          <t>pot_size_by_street</t>
        </is>
      </c>
      <c r="B103" s="8" t="inlineStr">
        <is>
          <t>每街底池大小</t>
        </is>
      </c>
      <c r="C103" s="8" t="inlineStr">
        <is>
          <t>单手牌</t>
        </is>
      </c>
      <c r="D103" s="13" t="inlineStr">
        <is>
          <t>P1</t>
        </is>
      </c>
      <c r="E103" s="7" t="n">
        <v>2</v>
      </c>
      <c r="F103" s="7" t="n">
        <v>1</v>
      </c>
      <c r="G103" s="7" t="n">
        <v>3</v>
      </c>
    </row>
    <row r="104" ht="22" customHeight="1">
      <c r="A104" s="8" t="inlineStr">
        <is>
          <t>action_sequence_preflop</t>
        </is>
      </c>
      <c r="B104" s="8" t="inlineStr">
        <is>
          <t>翻前行动链</t>
        </is>
      </c>
      <c r="C104" s="8" t="inlineStr">
        <is>
          <t>单手牌</t>
        </is>
      </c>
      <c r="D104" s="6" t="inlineStr">
        <is>
          <t>P0</t>
        </is>
      </c>
      <c r="E104" s="7" t="n">
        <v>1</v>
      </c>
      <c r="F104" s="7" t="n">
        <v>1</v>
      </c>
      <c r="G104" s="7" t="n">
        <v>2</v>
      </c>
    </row>
    <row r="105" ht="22" customHeight="1">
      <c r="A105" s="8" t="inlineStr">
        <is>
          <t>action_sequence_flop</t>
        </is>
      </c>
      <c r="B105" s="8" t="inlineStr">
        <is>
          <t>翻牌行动链</t>
        </is>
      </c>
      <c r="C105" s="8" t="inlineStr">
        <is>
          <t>单手牌</t>
        </is>
      </c>
      <c r="D105" s="6" t="inlineStr">
        <is>
          <t>P0</t>
        </is>
      </c>
      <c r="E105" s="7" t="n">
        <v>1</v>
      </c>
      <c r="F105" s="7" t="n">
        <v>2</v>
      </c>
      <c r="G105" s="7" t="n">
        <v>3</v>
      </c>
    </row>
    <row r="106" ht="22" customHeight="1">
      <c r="A106" s="8" t="inlineStr">
        <is>
          <t>action_sequence_turn</t>
        </is>
      </c>
      <c r="B106" s="8" t="inlineStr">
        <is>
          <t>转牌行动链</t>
        </is>
      </c>
      <c r="C106" s="8" t="inlineStr">
        <is>
          <t>单手牌</t>
        </is>
      </c>
      <c r="D106" s="6" t="inlineStr">
        <is>
          <t>P0</t>
        </is>
      </c>
      <c r="E106" s="7" t="n">
        <v>1</v>
      </c>
      <c r="F106" s="7" t="n">
        <v>2</v>
      </c>
      <c r="G106" s="7" t="n">
        <v>3</v>
      </c>
    </row>
    <row r="107" ht="22" customHeight="1">
      <c r="A107" s="8" t="inlineStr">
        <is>
          <t>action_sequence_river</t>
        </is>
      </c>
      <c r="B107" s="8" t="inlineStr">
        <is>
          <t>河牌行动链</t>
        </is>
      </c>
      <c r="C107" s="8" t="inlineStr">
        <is>
          <t>单手牌</t>
        </is>
      </c>
      <c r="D107" s="6" t="inlineStr">
        <is>
          <t>P0</t>
        </is>
      </c>
      <c r="E107" s="7" t="n">
        <v>1</v>
      </c>
      <c r="F107" s="7" t="n">
        <v>2</v>
      </c>
      <c r="G107" s="7" t="n">
        <v>3</v>
      </c>
    </row>
    <row r="108" ht="22" customHeight="1">
      <c r="A108" s="8" t="inlineStr">
        <is>
          <t>hero_actual_actions</t>
        </is>
      </c>
      <c r="B108" s="8" t="inlineStr">
        <is>
          <t>Hero 每街动作</t>
        </is>
      </c>
      <c r="C108" s="8" t="inlineStr">
        <is>
          <t>单手牌</t>
        </is>
      </c>
      <c r="D108" s="6" t="inlineStr">
        <is>
          <t>P0</t>
        </is>
      </c>
      <c r="E108" s="7" t="n">
        <v>2</v>
      </c>
      <c r="F108" s="7" t="n">
        <v>1</v>
      </c>
      <c r="G108" s="7" t="n">
        <v>3</v>
      </c>
    </row>
    <row r="109" ht="22" customHeight="1">
      <c r="A109" s="8" t="inlineStr">
        <is>
          <t>showdown_result</t>
        </is>
      </c>
      <c r="B109" s="8" t="inlineStr">
        <is>
          <t>摊牌结果</t>
        </is>
      </c>
      <c r="C109" s="8" t="inlineStr">
        <is>
          <t>单手牌</t>
        </is>
      </c>
      <c r="D109" s="13" t="inlineStr">
        <is>
          <t>P1</t>
        </is>
      </c>
      <c r="E109" s="7" t="n">
        <v>3</v>
      </c>
      <c r="F109" s="7" t="n">
        <v>3</v>
      </c>
      <c r="G109" s="7" t="n">
        <v>6</v>
      </c>
    </row>
    <row r="110" ht="22" customHeight="1">
      <c r="A110" s="8" t="inlineStr">
        <is>
          <t>is_multiway_pot</t>
        </is>
      </c>
      <c r="B110" s="8" t="inlineStr">
        <is>
          <t>是否多人底池</t>
        </is>
      </c>
      <c r="C110" s="8" t="inlineStr">
        <is>
          <t>单手牌</t>
        </is>
      </c>
      <c r="D110" s="13" t="inlineStr">
        <is>
          <t>P1</t>
        </is>
      </c>
      <c r="E110" s="7" t="n">
        <v>2</v>
      </c>
      <c r="F110" s="7" t="n">
        <v>3</v>
      </c>
      <c r="G110" s="7" t="n">
        <v>5</v>
      </c>
    </row>
    <row r="111" ht="22" customHeight="1">
      <c r="A111" s="8" t="inlineStr">
        <is>
          <t>is_big_pot</t>
        </is>
      </c>
      <c r="B111" s="8" t="inlineStr">
        <is>
          <t>是否大底池</t>
        </is>
      </c>
      <c r="C111" s="8" t="inlineStr">
        <is>
          <t>单手牌</t>
        </is>
      </c>
      <c r="D111" s="13" t="inlineStr">
        <is>
          <t>P1</t>
        </is>
      </c>
      <c r="E111" s="7" t="n">
        <v>2</v>
      </c>
      <c r="F111" s="7" t="n">
        <v>2</v>
      </c>
      <c r="G111" s="7" t="n">
        <v>4</v>
      </c>
    </row>
    <row r="112" ht="22" customHeight="1">
      <c r="A112" s="8" t="inlineStr">
        <is>
          <t>is_all_in_or_near_all_in</t>
        </is>
      </c>
      <c r="B112" s="8" t="inlineStr">
        <is>
          <t>是否 All-in 或接近 All-in</t>
        </is>
      </c>
      <c r="C112" s="8" t="inlineStr">
        <is>
          <t>单手牌</t>
        </is>
      </c>
      <c r="D112" s="13" t="inlineStr">
        <is>
          <t>P1</t>
        </is>
      </c>
      <c r="E112" s="7" t="n">
        <v>4</v>
      </c>
      <c r="F112" s="7" t="n">
        <v>2</v>
      </c>
      <c r="G112" s="7" t="n">
        <v>6</v>
      </c>
    </row>
    <row r="113" ht="22" customHeight="1">
      <c r="A113" s="8" t="inlineStr">
        <is>
          <t>main_opponent</t>
        </is>
      </c>
      <c r="B113" s="8" t="inlineStr">
        <is>
          <t>主要对手</t>
        </is>
      </c>
      <c r="C113" s="8" t="inlineStr">
        <is>
          <t>单手牌</t>
        </is>
      </c>
      <c r="D113" s="13" t="inlineStr">
        <is>
          <t>P1</t>
        </is>
      </c>
      <c r="E113" s="7" t="n">
        <v>2</v>
      </c>
      <c r="F113" s="7" t="n">
        <v>1</v>
      </c>
      <c r="G113" s="7" t="n">
        <v>3</v>
      </c>
    </row>
    <row r="114" ht="22" customHeight="1">
      <c r="A114" s="8" t="inlineStr">
        <is>
          <t>hand_order_sequence</t>
        </is>
      </c>
      <c r="B114" s="8" t="inlineStr">
        <is>
          <t>手牌时间顺序</t>
        </is>
      </c>
      <c r="C114" s="8" t="inlineStr">
        <is>
          <t>心态波动</t>
        </is>
      </c>
      <c r="D114" s="13" t="inlineStr">
        <is>
          <t>P1</t>
        </is>
      </c>
      <c r="E114" s="7" t="n">
        <v>1</v>
      </c>
      <c r="F114" s="7" t="n">
        <v>1</v>
      </c>
      <c r="G114" s="7" t="n">
        <v>2</v>
      </c>
    </row>
    <row r="115" ht="22" customHeight="1">
      <c r="A115" s="8" t="inlineStr">
        <is>
          <t>segment_vpip_rate</t>
        </is>
      </c>
      <c r="B115" s="8" t="inlineStr">
        <is>
          <t>分段入池率</t>
        </is>
      </c>
      <c r="C115" s="8" t="inlineStr">
        <is>
          <t>心态波动</t>
        </is>
      </c>
      <c r="D115" s="13" t="inlineStr">
        <is>
          <t>P1</t>
        </is>
      </c>
      <c r="E115" s="7" t="n">
        <v>2</v>
      </c>
      <c r="F115" s="7" t="n">
        <v>1</v>
      </c>
      <c r="G115" s="7" t="n">
        <v>3</v>
      </c>
    </row>
    <row r="116" ht="22" customHeight="1">
      <c r="A116" s="8" t="inlineStr">
        <is>
          <t>segment_pfr_rate</t>
        </is>
      </c>
      <c r="B116" s="8" t="inlineStr">
        <is>
          <t>分段加注率</t>
        </is>
      </c>
      <c r="C116" s="8" t="inlineStr">
        <is>
          <t>心态波动</t>
        </is>
      </c>
      <c r="D116" s="13" t="inlineStr">
        <is>
          <t>P1</t>
        </is>
      </c>
      <c r="E116" s="7" t="n">
        <v>2</v>
      </c>
      <c r="F116" s="7" t="n">
        <v>1</v>
      </c>
      <c r="G116" s="7" t="n">
        <v>3</v>
      </c>
    </row>
    <row r="117" ht="22" customHeight="1">
      <c r="A117" s="8" t="inlineStr">
        <is>
          <t>segment_call_rate</t>
        </is>
      </c>
      <c r="B117" s="8" t="inlineStr">
        <is>
          <t>分段跟注率</t>
        </is>
      </c>
      <c r="C117" s="8" t="inlineStr">
        <is>
          <t>心态波动</t>
        </is>
      </c>
      <c r="D117" s="13" t="inlineStr">
        <is>
          <t>P1</t>
        </is>
      </c>
      <c r="E117" s="7" t="n">
        <v>2</v>
      </c>
      <c r="F117" s="7" t="n">
        <v>1</v>
      </c>
      <c r="G117" s="7" t="n">
        <v>3</v>
      </c>
    </row>
    <row r="118" ht="22" customHeight="1">
      <c r="A118" s="8" t="inlineStr">
        <is>
          <t>segment_defense_rate</t>
        </is>
      </c>
      <c r="B118" s="8" t="inlineStr">
        <is>
          <t>分段防守率</t>
        </is>
      </c>
      <c r="C118" s="8" t="inlineStr">
        <is>
          <t>心态波动</t>
        </is>
      </c>
      <c r="D118" s="13" t="inlineStr">
        <is>
          <t>P1</t>
        </is>
      </c>
      <c r="E118" s="7" t="n">
        <v>2</v>
      </c>
      <c r="F118" s="7" t="n">
        <v>1</v>
      </c>
      <c r="G118" s="7" t="n">
        <v>3</v>
      </c>
    </row>
    <row r="119" ht="22" customHeight="1">
      <c r="A119" s="8" t="inlineStr">
        <is>
          <t>segment_high_risk_rate</t>
        </is>
      </c>
      <c r="B119" s="8" t="inlineStr">
        <is>
          <t>分段高风险决策占比</t>
        </is>
      </c>
      <c r="C119" s="8" t="inlineStr">
        <is>
          <t>心态波动</t>
        </is>
      </c>
      <c r="D119" s="13" t="inlineStr">
        <is>
          <t>P1</t>
        </is>
      </c>
      <c r="E119" s="7" t="n">
        <v>2</v>
      </c>
      <c r="F119" s="7" t="n">
        <v>1</v>
      </c>
      <c r="G119" s="7" t="n">
        <v>3</v>
      </c>
    </row>
    <row r="120" ht="22" customHeight="1">
      <c r="A120" s="8" t="inlineStr">
        <is>
          <t>win_streak_count</t>
        </is>
      </c>
      <c r="B120" s="8" t="inlineStr">
        <is>
          <t>连续盈利手数</t>
        </is>
      </c>
      <c r="C120" s="8" t="inlineStr">
        <is>
          <t>心态波动</t>
        </is>
      </c>
      <c r="D120" s="13" t="inlineStr">
        <is>
          <t>P1</t>
        </is>
      </c>
      <c r="E120" s="7" t="n">
        <v>1</v>
      </c>
      <c r="F120" s="7" t="n">
        <v>1</v>
      </c>
      <c r="G120" s="7" t="n">
        <v>2</v>
      </c>
    </row>
    <row r="121" ht="22" customHeight="1">
      <c r="A121" s="8" t="inlineStr">
        <is>
          <t>loss_streak_count</t>
        </is>
      </c>
      <c r="B121" s="8" t="inlineStr">
        <is>
          <t>连续亏损手数</t>
        </is>
      </c>
      <c r="C121" s="8" t="inlineStr">
        <is>
          <t>心态波动</t>
        </is>
      </c>
      <c r="D121" s="13" t="inlineStr">
        <is>
          <t>P1</t>
        </is>
      </c>
      <c r="E121" s="7" t="n">
        <v>1</v>
      </c>
      <c r="F121" s="7" t="n">
        <v>1</v>
      </c>
      <c r="G121" s="7" t="n">
        <v>2</v>
      </c>
    </row>
    <row r="122" ht="22" customHeight="1">
      <c r="A122" s="8" t="inlineStr">
        <is>
          <t>marginal_entry_after_win</t>
        </is>
      </c>
      <c r="B122" s="8" t="inlineStr">
        <is>
          <t>连赢后边缘牌入池</t>
        </is>
      </c>
      <c r="C122" s="8" t="inlineStr">
        <is>
          <t>心态波动</t>
        </is>
      </c>
      <c r="D122" s="13" t="inlineStr">
        <is>
          <t>P1</t>
        </is>
      </c>
      <c r="E122" s="7" t="n">
        <v>1</v>
      </c>
      <c r="F122" s="7" t="n">
        <v>2</v>
      </c>
      <c r="G122" s="7" t="n">
        <v>3</v>
      </c>
    </row>
    <row r="123" ht="22" customHeight="1">
      <c r="A123" s="8" t="inlineStr">
        <is>
          <t>marginal_entry_after_loss</t>
        </is>
      </c>
      <c r="B123" s="8" t="inlineStr">
        <is>
          <t>连亏后边缘牌入池</t>
        </is>
      </c>
      <c r="C123" s="8" t="inlineStr">
        <is>
          <t>心态波动</t>
        </is>
      </c>
      <c r="D123" s="13" t="inlineStr">
        <is>
          <t>P1</t>
        </is>
      </c>
      <c r="E123" s="7" t="n">
        <v>1</v>
      </c>
      <c r="F123" s="7" t="n">
        <v>2</v>
      </c>
      <c r="G123" s="7" t="n">
        <v>3</v>
      </c>
    </row>
    <row r="124" ht="22" customHeight="1">
      <c r="A124" s="8" t="inlineStr">
        <is>
          <t>weak_AK_entry_count</t>
        </is>
      </c>
      <c r="B124" s="8" t="inlineStr">
        <is>
          <t>弱 A / 弱 K 入池次数</t>
        </is>
      </c>
      <c r="C124" s="8" t="inlineStr">
        <is>
          <t>心态波动</t>
        </is>
      </c>
      <c r="D124" s="7" t="inlineStr">
        <is>
          <t>P2</t>
        </is>
      </c>
      <c r="E124" s="7" t="n">
        <v>1</v>
      </c>
      <c r="F124" s="7" t="n">
        <v>3</v>
      </c>
      <c r="G124" s="7" t="n">
        <v>4</v>
      </c>
    </row>
    <row r="125" ht="22" customHeight="1">
      <c r="A125" s="8" t="inlineStr">
        <is>
          <t>low_connector_entry_count</t>
        </is>
      </c>
      <c r="B125" s="8" t="inlineStr">
        <is>
          <t>低连张入池次数</t>
        </is>
      </c>
      <c r="C125" s="8" t="inlineStr">
        <is>
          <t>心态波动</t>
        </is>
      </c>
      <c r="D125" s="7" t="inlineStr">
        <is>
          <t>P2</t>
        </is>
      </c>
      <c r="E125" s="7" t="n">
        <v>1</v>
      </c>
      <c r="F125" s="7" t="n">
        <v>3</v>
      </c>
      <c r="G125" s="7" t="n">
        <v>4</v>
      </c>
    </row>
    <row r="126" ht="22" customHeight="1">
      <c r="A126" s="8" t="inlineStr">
        <is>
          <t>oop_marginal_entry_count</t>
        </is>
      </c>
      <c r="B126" s="8" t="inlineStr">
        <is>
          <t>不利位置边缘牌入池</t>
        </is>
      </c>
      <c r="C126" s="8" t="inlineStr">
        <is>
          <t>心态波动</t>
        </is>
      </c>
      <c r="D126" s="13" t="inlineStr">
        <is>
          <t>P1</t>
        </is>
      </c>
      <c r="E126" s="7" t="n">
        <v>1</v>
      </c>
      <c r="F126" s="7" t="n">
        <v>2</v>
      </c>
      <c r="G126" s="7" t="n">
        <v>3</v>
      </c>
    </row>
    <row r="127" ht="22" customHeight="1">
      <c r="A127" s="8" t="inlineStr">
        <is>
          <t>emotion_node_hand_range</t>
        </is>
      </c>
      <c r="B127" s="8" t="inlineStr">
        <is>
          <t>节点手牌区间</t>
        </is>
      </c>
      <c r="C127" s="8" t="inlineStr">
        <is>
          <t>心态波动</t>
        </is>
      </c>
      <c r="D127" s="13" t="inlineStr">
        <is>
          <t>P1</t>
        </is>
      </c>
      <c r="E127" s="7" t="n">
        <v>1</v>
      </c>
      <c r="F127" s="7" t="n">
        <v>2</v>
      </c>
      <c r="G127" s="7" t="n">
        <v>3</v>
      </c>
    </row>
    <row r="128" ht="22" customHeight="1">
      <c r="A128" s="8" t="inlineStr">
        <is>
          <t>PROD-cumulative_net_profit</t>
        </is>
      </c>
      <c r="B128" s="8" t="inlineStr">
        <is>
          <t>累计净盈亏</t>
        </is>
      </c>
      <c r="C128" s="8" t="inlineStr">
        <is>
          <t>场次列表</t>
        </is>
      </c>
      <c r="D128" s="6" t="inlineStr">
        <is>
          <t>P0</t>
        </is>
      </c>
      <c r="E128" s="7" t="n">
        <v>1</v>
      </c>
      <c r="F128" s="7" t="n">
        <v>0</v>
      </c>
      <c r="G128" s="7" t="n">
        <v>1</v>
      </c>
    </row>
    <row r="129" ht="22" customHeight="1">
      <c r="A129" s="8" t="inlineStr">
        <is>
          <t>PROD-winning_sessions</t>
        </is>
      </c>
      <c r="B129" s="8" t="inlineStr">
        <is>
          <t>盈利场次</t>
        </is>
      </c>
      <c r="C129" s="8" t="inlineStr">
        <is>
          <t>场次列表</t>
        </is>
      </c>
      <c r="D129" s="6" t="inlineStr">
        <is>
          <t>P0</t>
        </is>
      </c>
      <c r="E129" s="7" t="n">
        <v>1</v>
      </c>
      <c r="F129" s="7" t="n">
        <v>1</v>
      </c>
      <c r="G129" s="7" t="n">
        <v>2</v>
      </c>
    </row>
    <row r="130" ht="22" customHeight="1">
      <c r="A130" s="8" t="inlineStr">
        <is>
          <t>PROD-total_sessions</t>
        </is>
      </c>
      <c r="B130" s="8" t="inlineStr">
        <is>
          <t>累计场次</t>
        </is>
      </c>
      <c r="C130" s="8" t="inlineStr">
        <is>
          <t>场次列表</t>
        </is>
      </c>
      <c r="D130" s="6" t="inlineStr">
        <is>
          <t>P0</t>
        </is>
      </c>
      <c r="E130" s="7" t="n">
        <v>1</v>
      </c>
      <c r="F130" s="7" t="n">
        <v>1</v>
      </c>
      <c r="G130" s="7" t="n">
        <v>2</v>
      </c>
    </row>
    <row r="131" ht="22" customHeight="1">
      <c r="A131" s="8" t="inlineStr">
        <is>
          <t>PROD-total_hands_agg</t>
        </is>
      </c>
      <c r="B131" s="8" t="inlineStr">
        <is>
          <t>累计手数</t>
        </is>
      </c>
      <c r="C131" s="8" t="inlineStr">
        <is>
          <t>场次列表</t>
        </is>
      </c>
      <c r="D131" s="6" t="inlineStr">
        <is>
          <t>P0</t>
        </is>
      </c>
      <c r="E131" s="7" t="n">
        <v>2</v>
      </c>
      <c r="F131" s="7" t="n">
        <v>1</v>
      </c>
      <c r="G131" s="7" t="n">
        <v>3</v>
      </c>
    </row>
    <row r="132" ht="22" customHeight="1">
      <c r="A132" s="8" t="inlineStr">
        <is>
          <t>PROD-session_net_profit</t>
        </is>
      </c>
      <c r="B132" s="8" t="inlineStr">
        <is>
          <t>场次净盈亏</t>
        </is>
      </c>
      <c r="C132" s="8" t="inlineStr">
        <is>
          <t>场次列表</t>
        </is>
      </c>
      <c r="D132" s="6" t="inlineStr">
        <is>
          <t>P0</t>
        </is>
      </c>
      <c r="E132" s="7" t="n">
        <v>2</v>
      </c>
      <c r="F132" s="7" t="n">
        <v>0</v>
      </c>
      <c r="G132" s="7" t="n">
        <v>2</v>
      </c>
    </row>
    <row r="133" ht="22" customHeight="1">
      <c r="A133" s="8" t="inlineStr">
        <is>
          <t>PROD-position_hands_check</t>
        </is>
      </c>
      <c r="B133" s="8" t="inlineStr">
        <is>
          <t>位置相关手数校验</t>
        </is>
      </c>
      <c r="C133" s="8" t="inlineStr">
        <is>
          <t>场次列表</t>
        </is>
      </c>
      <c r="D133" s="13" t="inlineStr">
        <is>
          <t>P1</t>
        </is>
      </c>
      <c r="E133" s="7" t="n">
        <v>2</v>
      </c>
      <c r="F133" s="7" t="n">
        <v>0</v>
      </c>
      <c r="G133" s="7" t="n">
        <v>2</v>
      </c>
    </row>
    <row r="134" ht="22" customHeight="1">
      <c r="A134" s="8" t="inlineStr">
        <is>
          <t>PROD-position_profit_check</t>
        </is>
      </c>
      <c r="B134" s="8" t="inlineStr">
        <is>
          <t>位置净盈亏校验</t>
        </is>
      </c>
      <c r="C134" s="8" t="inlineStr">
        <is>
          <t>场次列表</t>
        </is>
      </c>
      <c r="D134" s="13" t="inlineStr">
        <is>
          <t>P1</t>
        </is>
      </c>
      <c r="E134" s="7" t="n">
        <v>2</v>
      </c>
      <c r="F134" s="7" t="n">
        <v>0</v>
      </c>
      <c r="G134" s="7" t="n">
        <v>2</v>
      </c>
    </row>
    <row r="135" ht="22" customHeight="1">
      <c r="A135" s="8" t="inlineStr">
        <is>
          <t>PROD-bb_per_100</t>
        </is>
      </c>
      <c r="B135" s="8" t="inlineStr">
        <is>
          <t>BB/100</t>
        </is>
      </c>
      <c r="C135" s="8" t="inlineStr">
        <is>
          <t>场次列表</t>
        </is>
      </c>
      <c r="D135" s="13" t="inlineStr">
        <is>
          <t>P1</t>
        </is>
      </c>
      <c r="E135" s="7" t="n">
        <v>3</v>
      </c>
      <c r="F135" s="7" t="n">
        <v>0</v>
      </c>
      <c r="G135" s="7" t="n">
        <v>3</v>
      </c>
    </row>
    <row r="136" ht="22" customHeight="1">
      <c r="A136" s="8" t="inlineStr">
        <is>
          <t>PROD-session_filter_count</t>
        </is>
      </c>
      <c r="B136" s="8" t="inlineStr">
        <is>
          <t>复盘场次计数</t>
        </is>
      </c>
      <c r="C136" s="8" t="inlineStr">
        <is>
          <t>场次列表</t>
        </is>
      </c>
      <c r="D136" s="13" t="inlineStr">
        <is>
          <t>P1</t>
        </is>
      </c>
      <c r="E136" s="7" t="n">
        <v>1</v>
      </c>
      <c r="F136" s="7" t="n">
        <v>0</v>
      </c>
      <c r="G136" s="7" t="n">
        <v>1</v>
      </c>
    </row>
    <row r="137" ht="22" customHeight="1">
      <c r="A137" s="8" t="inlineStr">
        <is>
          <t>PROD-mode_net_profit</t>
        </is>
      </c>
      <c r="B137" s="8" t="inlineStr">
        <is>
          <t>模式净盈亏</t>
        </is>
      </c>
      <c r="C137" s="8" t="inlineStr">
        <is>
          <t>场次列表</t>
        </is>
      </c>
      <c r="D137" s="13" t="inlineStr">
        <is>
          <t>P1</t>
        </is>
      </c>
      <c r="E137" s="7" t="n">
        <v>1</v>
      </c>
      <c r="F137" s="7" t="n">
        <v>0</v>
      </c>
      <c r="G137" s="7" t="n">
        <v>1</v>
      </c>
    </row>
    <row r="138" ht="22" customHeight="1">
      <c r="A138" s="8" t="inlineStr">
        <is>
          <t>PROD-duel_multi_hands</t>
        </is>
      </c>
      <c r="B138" s="8" t="inlineStr">
        <is>
          <t>单挑/多人手数</t>
        </is>
      </c>
      <c r="C138" s="8" t="inlineStr">
        <is>
          <t>场次列表</t>
        </is>
      </c>
      <c r="D138" s="13" t="inlineStr">
        <is>
          <t>P1</t>
        </is>
      </c>
      <c r="E138" s="7" t="n">
        <v>1</v>
      </c>
      <c r="F138" s="7" t="n">
        <v>1</v>
      </c>
      <c r="G138" s="7" t="n">
        <v>2</v>
      </c>
    </row>
    <row r="139" ht="22" customHeight="1">
      <c r="A139" s="8" t="inlineStr">
        <is>
          <t>PROD-similar_30d</t>
        </is>
      </c>
      <c r="B139" s="8" t="inlineStr">
        <is>
          <t>30天相似次数</t>
        </is>
      </c>
      <c r="C139" s="8" t="inlineStr">
        <is>
          <t>产品交互</t>
        </is>
      </c>
      <c r="D139" s="7" t="inlineStr">
        <is>
          <t>P2</t>
        </is>
      </c>
      <c r="E139" s="7" t="n">
        <v>1</v>
      </c>
      <c r="F139" s="7" t="n">
        <v>0</v>
      </c>
      <c r="G139" s="7" t="n">
        <v>1</v>
      </c>
    </row>
    <row r="140" ht="22" customHeight="1">
      <c r="A140" s="8" t="inlineStr">
        <is>
          <t>PROD-hand_catalog_count</t>
        </is>
      </c>
      <c r="B140" s="8" t="inlineStr">
        <is>
          <t>手牌目录数</t>
        </is>
      </c>
      <c r="C140" s="8" t="inlineStr">
        <is>
          <t>产品交互</t>
        </is>
      </c>
      <c r="D140" s="13" t="inlineStr">
        <is>
          <t>P1</t>
        </is>
      </c>
      <c r="E140" s="7" t="n">
        <v>2</v>
      </c>
      <c r="F140" s="7" t="n">
        <v>0</v>
      </c>
      <c r="G140" s="7" t="n">
        <v>2</v>
      </c>
    </row>
    <row r="141" ht="22" customHeight="1">
      <c r="A141" s="8" t="inlineStr">
        <is>
          <t>PROD-hand_progress</t>
        </is>
      </c>
      <c r="B141" s="8" t="inlineStr">
        <is>
          <t>单手进度</t>
        </is>
      </c>
      <c r="C141" s="8" t="inlineStr">
        <is>
          <t>产品交互</t>
        </is>
      </c>
      <c r="D141" s="13" t="inlineStr">
        <is>
          <t>P1</t>
        </is>
      </c>
      <c r="E141" s="7" t="n">
        <v>2</v>
      </c>
      <c r="F141" s="7" t="n">
        <v>1</v>
      </c>
      <c r="G141" s="7" t="n">
        <v>3</v>
      </c>
    </row>
    <row r="142" ht="22" customHeight="1">
      <c r="A142" s="8" t="inlineStr">
        <is>
          <t>PROD-unread_count</t>
        </is>
      </c>
      <c r="B142" s="8" t="inlineStr">
        <is>
          <t>未读数</t>
        </is>
      </c>
      <c r="C142" s="8" t="inlineStr">
        <is>
          <t>产品交互</t>
        </is>
      </c>
      <c r="D142" s="13" t="inlineStr">
        <is>
          <t>P1</t>
        </is>
      </c>
      <c r="E142" s="7" t="n">
        <v>2</v>
      </c>
      <c r="F142" s="7" t="n">
        <v>0</v>
      </c>
      <c r="G142" s="7" t="n">
        <v>2</v>
      </c>
    </row>
    <row r="143" ht="22" customHeight="1">
      <c r="A143" s="8" t="inlineStr">
        <is>
          <t>PROD-credits_balance</t>
        </is>
      </c>
      <c r="B143" s="8" t="inlineStr">
        <is>
          <t>Credits总余额</t>
        </is>
      </c>
      <c r="C143" s="8" t="inlineStr">
        <is>
          <t>账户计费</t>
        </is>
      </c>
      <c r="D143" s="6" t="inlineStr">
        <is>
          <t>P0</t>
        </is>
      </c>
      <c r="E143" s="7" t="n">
        <v>1</v>
      </c>
      <c r="F143" s="7" t="n">
        <v>1</v>
      </c>
      <c r="G143" s="7" t="n">
        <v>2</v>
      </c>
    </row>
    <row r="144" ht="22" customHeight="1">
      <c r="A144" s="8" t="inlineStr">
        <is>
          <t>PROD-credits_usage_rate</t>
        </is>
      </c>
      <c r="B144" s="8" t="inlineStr">
        <is>
          <t>Credits使用率</t>
        </is>
      </c>
      <c r="C144" s="8" t="inlineStr">
        <is>
          <t>账户计费</t>
        </is>
      </c>
      <c r="D144" s="13" t="inlineStr">
        <is>
          <t>P1</t>
        </is>
      </c>
      <c r="E144" s="7" t="n">
        <v>1</v>
      </c>
      <c r="F144" s="7" t="n">
        <v>1</v>
      </c>
      <c r="G144" s="7" t="n">
        <v>2</v>
      </c>
    </row>
    <row r="145" ht="22" customHeight="1">
      <c r="A145" s="8" t="inlineStr">
        <is>
          <t>PROD-membership_quota</t>
        </is>
      </c>
      <c r="B145" s="8" t="inlineStr">
        <is>
          <t>会员剩余额度</t>
        </is>
      </c>
      <c r="C145" s="8" t="inlineStr">
        <is>
          <t>账户计费</t>
        </is>
      </c>
      <c r="D145" s="6" t="inlineStr">
        <is>
          <t>P0</t>
        </is>
      </c>
      <c r="E145" s="7" t="n">
        <v>2</v>
      </c>
      <c r="F145" s="7" t="n">
        <v>0</v>
      </c>
      <c r="G145" s="7" t="n">
        <v>2</v>
      </c>
    </row>
    <row r="146" ht="22" customHeight="1">
      <c r="A146" s="8" t="inlineStr">
        <is>
          <t>PROD-recording_billing_minutes</t>
        </is>
      </c>
      <c r="B146" s="8" t="inlineStr">
        <is>
          <t>录屏计费分钟</t>
        </is>
      </c>
      <c r="C146" s="8" t="inlineStr">
        <is>
          <t>账户计费</t>
        </is>
      </c>
      <c r="D146" s="6" t="inlineStr">
        <is>
          <t>P0</t>
        </is>
      </c>
      <c r="E146" s="7" t="n">
        <v>3</v>
      </c>
      <c r="F146" s="7" t="n">
        <v>0</v>
      </c>
      <c r="G146" s="7" t="n">
        <v>3</v>
      </c>
    </row>
    <row r="147" ht="22" customHeight="1">
      <c r="A147" s="8" t="inlineStr">
        <is>
          <t>PROD-recording_fee</t>
        </is>
      </c>
      <c r="B147" s="8" t="inlineStr">
        <is>
          <t>录屏费用</t>
        </is>
      </c>
      <c r="C147" s="8" t="inlineStr">
        <is>
          <t>账户计费</t>
        </is>
      </c>
      <c r="D147" s="6" t="inlineStr">
        <is>
          <t>P0</t>
        </is>
      </c>
      <c r="E147" s="7" t="n">
        <v>1</v>
      </c>
      <c r="F147" s="7" t="n">
        <v>1</v>
      </c>
      <c r="G147" s="7" t="n">
        <v>2</v>
      </c>
    </row>
    <row r="148" ht="22" customHeight="1">
      <c r="A148" s="8" t="inlineStr">
        <is>
          <t>PROD-estimated_recording_time</t>
        </is>
      </c>
      <c r="B148" s="8" t="inlineStr">
        <is>
          <t>预计可录时长</t>
        </is>
      </c>
      <c r="C148" s="8" t="inlineStr">
        <is>
          <t>账户计费</t>
        </is>
      </c>
      <c r="D148" s="13" t="inlineStr">
        <is>
          <t>P1</t>
        </is>
      </c>
      <c r="E148" s="7" t="n">
        <v>2</v>
      </c>
      <c r="F148" s="7" t="n">
        <v>0</v>
      </c>
      <c r="G148" s="7" t="n">
        <v>2</v>
      </c>
    </row>
    <row r="149" ht="22" customHeight="1">
      <c r="A149" s="8" t="inlineStr">
        <is>
          <t>PROD-hand_purchase_fee</t>
        </is>
      </c>
      <c r="B149" s="8" t="inlineStr">
        <is>
          <t>单手购买费用</t>
        </is>
      </c>
      <c r="C149" s="8" t="inlineStr">
        <is>
          <t>账户计费</t>
        </is>
      </c>
      <c r="D149" s="13" t="inlineStr">
        <is>
          <t>P1</t>
        </is>
      </c>
      <c r="E149" s="7" t="n">
        <v>1</v>
      </c>
      <c r="F149" s="7" t="n">
        <v>1</v>
      </c>
      <c r="G149" s="7" t="n">
        <v>2</v>
      </c>
    </row>
    <row r="150" ht="22" customHeight="1">
      <c r="A150" s="8" t="inlineStr">
        <is>
          <t>PROD-membership_annual_save</t>
        </is>
      </c>
      <c r="B150" s="8" t="inlineStr">
        <is>
          <t>会员年付节省</t>
        </is>
      </c>
      <c r="C150" s="8" t="inlineStr">
        <is>
          <t>账户计费</t>
        </is>
      </c>
      <c r="D150" s="7" t="inlineStr">
        <is>
          <t>P2</t>
        </is>
      </c>
      <c r="E150" s="7" t="n">
        <v>1</v>
      </c>
      <c r="F150" s="7" t="n">
        <v>0</v>
      </c>
      <c r="G150" s="7" t="n">
        <v>1</v>
      </c>
    </row>
    <row r="151" ht="22" customHeight="1">
      <c r="A151" s="8" t="inlineStr">
        <is>
          <t>PROD-referral_reward</t>
        </is>
      </c>
      <c r="B151" s="8" t="inlineStr">
        <is>
          <t>邀请奖励</t>
        </is>
      </c>
      <c r="C151" s="8" t="inlineStr">
        <is>
          <t>账户计费</t>
        </is>
      </c>
      <c r="D151" s="7" t="inlineStr">
        <is>
          <t>P2</t>
        </is>
      </c>
      <c r="E151" s="7" t="n">
        <v>1</v>
      </c>
      <c r="F151" s="7" t="n">
        <v>1</v>
      </c>
      <c r="G151" s="7" t="n">
        <v>2</v>
      </c>
    </row>
    <row r="152" ht="22" customHeight="1">
      <c r="A152" s="8" t="inlineStr">
        <is>
          <t>emotion_module_status</t>
        </is>
      </c>
      <c r="B152" s="8" t="inlineStr">
        <is>
          <t>情绪与心态波动节点</t>
        </is>
      </c>
      <c r="C152" s="8" t="inlineStr">
        <is>
          <t>模块可用性</t>
        </is>
      </c>
      <c r="D152" s="13" t="inlineStr">
        <is>
          <t>P1</t>
        </is>
      </c>
      <c r="E152" s="7" t="n">
        <v>1</v>
      </c>
      <c r="F152" s="7" t="n">
        <v>2</v>
      </c>
      <c r="G152" s="7" t="n">
        <v>3</v>
      </c>
    </row>
    <row r="153" ht="22" customHeight="1">
      <c r="A153" s="8" t="inlineStr">
        <is>
          <t>hand_type_warning_status</t>
        </is>
      </c>
      <c r="B153" s="8" t="inlineStr">
        <is>
          <t>重点注意的牌局类型</t>
        </is>
      </c>
      <c r="C153" s="8" t="inlineStr">
        <is>
          <t>模块可用性</t>
        </is>
      </c>
      <c r="D153" s="13" t="inlineStr">
        <is>
          <t>P1</t>
        </is>
      </c>
      <c r="E153" s="7" t="n">
        <v>1</v>
      </c>
      <c r="F153" s="7" t="n">
        <v>2</v>
      </c>
      <c r="G153" s="7" t="n">
        <v>3</v>
      </c>
    </row>
    <row r="154" ht="22" customHeight="1">
      <c r="A154" s="8" t="inlineStr">
        <is>
          <t>improvement_suggestion_status</t>
        </is>
      </c>
      <c r="B154" s="8" t="inlineStr">
        <is>
          <t>整体改进建议</t>
        </is>
      </c>
      <c r="C154" s="8" t="inlineStr">
        <is>
          <t>模块可用性</t>
        </is>
      </c>
      <c r="D154" s="13" t="inlineStr">
        <is>
          <t>P1</t>
        </is>
      </c>
      <c r="E154" s="7" t="n">
        <v>1</v>
      </c>
      <c r="F154" s="7" t="n">
        <v>2</v>
      </c>
      <c r="G154" s="7" t="n">
        <v>3</v>
      </c>
    </row>
    <row r="155" ht="22" customHeight="1">
      <c r="A155" s="8" t="inlineStr">
        <is>
          <t>key_hand_module_status</t>
        </is>
      </c>
      <c r="B155" s="8" t="inlineStr">
        <is>
          <t>关键手牌深度复盘</t>
        </is>
      </c>
      <c r="C155" s="8" t="inlineStr">
        <is>
          <t>模块可用性</t>
        </is>
      </c>
      <c r="D155" s="13" t="inlineStr">
        <is>
          <t>P1</t>
        </is>
      </c>
      <c r="E155" s="7" t="n">
        <v>1</v>
      </c>
      <c r="F155" s="7" t="n">
        <v>2</v>
      </c>
      <c r="G155" s="7" t="n">
        <v>3</v>
      </c>
    </row>
    <row r="156" ht="22" customHeight="1">
      <c r="A156" s="8" t="inlineStr">
        <is>
          <t>opponent_position_module_status</t>
        </is>
      </c>
      <c r="B156" s="8" t="inlineStr">
        <is>
          <t>对手与位置表现分析</t>
        </is>
      </c>
      <c r="C156" s="8" t="inlineStr">
        <is>
          <t>模块可用性</t>
        </is>
      </c>
      <c r="D156" s="13" t="inlineStr">
        <is>
          <t>P1</t>
        </is>
      </c>
      <c r="E156" s="7" t="n">
        <v>1</v>
      </c>
      <c r="F156" s="7" t="n">
        <v>2</v>
      </c>
      <c r="G156" s="7" t="n">
        <v>3</v>
      </c>
    </row>
    <row r="157" ht="22" customHeight="1">
      <c r="A157" s="8" t="inlineStr">
        <is>
          <t>pnl_ev_module_status</t>
        </is>
      </c>
      <c r="B157" s="8" t="inlineStr">
        <is>
          <t>盈亏与期望分析</t>
        </is>
      </c>
      <c r="C157" s="8" t="inlineStr">
        <is>
          <t>模块可用性</t>
        </is>
      </c>
      <c r="D157" s="13" t="inlineStr">
        <is>
          <t>P1</t>
        </is>
      </c>
      <c r="E157" s="7" t="n">
        <v>1</v>
      </c>
      <c r="F157" s="7" t="n">
        <v>2</v>
      </c>
      <c r="G157" s="7" t="n">
        <v>3</v>
      </c>
    </row>
    <row r="158" ht="22" customHeight="1">
      <c r="A158" s="8" t="inlineStr">
        <is>
          <t>smart_summary_status</t>
        </is>
      </c>
      <c r="B158" s="8" t="inlineStr">
        <is>
          <t>智能总结</t>
        </is>
      </c>
      <c r="C158" s="8" t="inlineStr">
        <is>
          <t>模块可用性</t>
        </is>
      </c>
      <c r="D158" s="13" t="inlineStr">
        <is>
          <t>P1</t>
        </is>
      </c>
      <c r="E158" s="7" t="n">
        <v>1</v>
      </c>
      <c r="F158" s="7" t="n">
        <v>2</v>
      </c>
      <c r="G158" s="7" t="n">
        <v>3</v>
      </c>
    </row>
    <row r="159" ht="22" customHeight="1">
      <c r="A159" s="8" t="inlineStr"/>
      <c r="B159" s="8" t="inlineStr">
        <is>
          <t>JSON整包门控</t>
        </is>
      </c>
      <c r="C159" s="8" t="inlineStr"/>
      <c r="D159" s="6" t="inlineStr">
        <is>
          <t>P0</t>
        </is>
      </c>
      <c r="E159" s="7" t="n">
        <v>19</v>
      </c>
      <c r="F159" s="7" t="n">
        <v>0</v>
      </c>
      <c r="G159" s="7" t="n">
        <v>19</v>
      </c>
    </row>
    <row r="160" ht="24" customHeight="1">
      <c r="A160" s="18" t="inlineStr">
        <is>
          <t>合计</t>
        </is>
      </c>
      <c r="B160" s="18" t="inlineStr"/>
      <c r="C160" s="18" t="inlineStr"/>
      <c r="D160" s="19" t="inlineStr"/>
      <c r="E160" s="19" t="n">
        <v>322</v>
      </c>
      <c r="F160" s="19" t="n">
        <v>245</v>
      </c>
      <c r="G160" s="19" t="n">
        <v>567</v>
      </c>
    </row>
  </sheetData>
  <autoFilter ref="A4:G159"/>
  <mergeCells count="3">
    <mergeCell ref="A3:R3"/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2026-08-23T10:00:16Z</dcterms:created>
  <dcterms:modified xsi:type="dcterms:W3CDTF">2026-08-23T10:00:17Z</dcterms:modified>
</cp:coreProperties>
</file>